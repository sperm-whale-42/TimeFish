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80"/>
  <workbookPr filterPrivacy="1"/>
  <xr:revisionPtr revIDLastSave="0" documentId="13_ncr:1_{48B3B2C1-7C76-453C-AD9F-DCB1DC4DEC92}" xr6:coauthVersionLast="36" xr6:coauthVersionMax="36" xr10:uidLastSave="{00000000-0000-0000-0000-000000000000}"/>
  <bookViews>
    <workbookView xWindow="0" yWindow="0" windowWidth="22260" windowHeight="12650" activeTab="1" xr2:uid="{00000000-000D-0000-FFFF-FFFF00000000}"/>
  </bookViews>
  <sheets>
    <sheet name="数据透视表" sheetId="5" r:id="rId1"/>
    <sheet name="活动源数据" sheetId="1" r:id="rId2"/>
    <sheet name="睡眠源数据" sheetId="3" r:id="rId3"/>
    <sheet name="活动参数" sheetId="2" r:id="rId4"/>
    <sheet name="单日明细" sheetId="4" r:id="rId5"/>
  </sheets>
  <definedNames>
    <definedName name="_xlnm._FilterDatabase" localSheetId="1" hidden="1">活动源数据!$A$1:$E$15</definedName>
  </definedNames>
  <calcPr calcId="191029"/>
  <pivotCaches>
    <pivotCache cacheId="51" r:id="rId6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61" i="1" l="1"/>
  <c r="D60" i="1"/>
  <c r="D56" i="1"/>
  <c r="E54" i="1"/>
  <c r="E52" i="1"/>
  <c r="D32" i="3"/>
  <c r="D33" i="3"/>
  <c r="D34" i="3"/>
  <c r="D35" i="3"/>
  <c r="D36" i="3"/>
  <c r="D37" i="3"/>
  <c r="D38" i="3"/>
  <c r="D39" i="3"/>
  <c r="D40" i="3"/>
  <c r="D41" i="3"/>
  <c r="D42" i="3"/>
  <c r="D43" i="3"/>
  <c r="D31" i="3"/>
  <c r="D30" i="3"/>
  <c r="E47" i="1"/>
  <c r="E44" i="1"/>
  <c r="E46" i="1"/>
  <c r="D29" i="3"/>
  <c r="D28" i="3"/>
  <c r="D27" i="3"/>
  <c r="D26" i="3"/>
  <c r="D25" i="3"/>
  <c r="D24" i="3"/>
  <c r="E40" i="1"/>
  <c r="E38" i="1"/>
  <c r="E35" i="1"/>
  <c r="E33" i="1"/>
  <c r="E34" i="1"/>
  <c r="E32" i="1"/>
  <c r="E36" i="1"/>
  <c r="E37" i="1"/>
  <c r="E39" i="1"/>
  <c r="E41" i="1"/>
  <c r="E42" i="1"/>
  <c r="E43" i="1"/>
  <c r="E45" i="1"/>
  <c r="E48" i="1"/>
  <c r="E49" i="1"/>
  <c r="E50" i="1"/>
  <c r="E51" i="1"/>
  <c r="E53" i="1"/>
  <c r="E55" i="1"/>
  <c r="E56" i="1"/>
  <c r="E57" i="1"/>
  <c r="E58" i="1"/>
  <c r="E59" i="1"/>
  <c r="E60" i="1"/>
  <c r="E61" i="1"/>
  <c r="D17" i="3" l="1"/>
  <c r="D18" i="3"/>
  <c r="D19" i="3"/>
  <c r="D20" i="3"/>
  <c r="D21" i="3"/>
  <c r="D22" i="3"/>
  <c r="D23" i="3"/>
  <c r="D16" i="3"/>
  <c r="E23" i="1"/>
  <c r="E20" i="1"/>
  <c r="E19" i="1"/>
  <c r="E18" i="1"/>
  <c r="E22" i="1"/>
  <c r="E25" i="1"/>
  <c r="E27" i="1"/>
  <c r="E30" i="1"/>
  <c r="E17" i="1"/>
  <c r="E28" i="1"/>
  <c r="E21" i="1"/>
  <c r="E24" i="1"/>
  <c r="E26" i="1"/>
  <c r="E29" i="1"/>
  <c r="E31" i="1"/>
  <c r="E16" i="1"/>
  <c r="D11" i="3" l="1"/>
  <c r="D12" i="3"/>
  <c r="D13" i="3"/>
  <c r="D14" i="3"/>
  <c r="D15" i="3"/>
  <c r="D10" i="3"/>
  <c r="D9" i="3"/>
  <c r="E15" i="1"/>
  <c r="E14" i="1"/>
  <c r="E13" i="1"/>
  <c r="E12" i="1"/>
  <c r="E11" i="1"/>
  <c r="E10" i="1"/>
  <c r="E3" i="1"/>
  <c r="E4" i="1"/>
  <c r="E5" i="1"/>
  <c r="E6" i="1"/>
  <c r="E7" i="1"/>
  <c r="E8" i="1"/>
  <c r="E9" i="1"/>
  <c r="E2" i="1"/>
  <c r="D4" i="3" l="1"/>
  <c r="D2" i="3"/>
  <c r="D3" i="3"/>
  <c r="D5" i="3"/>
  <c r="D6" i="3"/>
  <c r="D7" i="3"/>
  <c r="D8" i="3"/>
</calcChain>
</file>

<file path=xl/sharedStrings.xml><?xml version="1.0" encoding="utf-8"?>
<sst xmlns="http://schemas.openxmlformats.org/spreadsheetml/2006/main" count="175" uniqueCount="70">
  <si>
    <t>日期</t>
    <phoneticPr fontId="1" type="noConversion"/>
  </si>
  <si>
    <t>子类</t>
    <phoneticPr fontId="1" type="noConversion"/>
  </si>
  <si>
    <t>活动</t>
    <phoneticPr fontId="1" type="noConversion"/>
  </si>
  <si>
    <t>支出时间</t>
    <phoneticPr fontId="1" type="noConversion"/>
  </si>
  <si>
    <t>入睡时间</t>
    <phoneticPr fontId="1" type="noConversion"/>
  </si>
  <si>
    <t>起床时间</t>
    <phoneticPr fontId="1" type="noConversion"/>
  </si>
  <si>
    <t>睡眠时长</t>
    <phoneticPr fontId="1" type="noConversion"/>
  </si>
  <si>
    <t>器械</t>
    <phoneticPr fontId="1" type="noConversion"/>
  </si>
  <si>
    <t>自重</t>
    <phoneticPr fontId="1" type="noConversion"/>
  </si>
  <si>
    <t>跑步</t>
    <phoneticPr fontId="1" type="noConversion"/>
  </si>
  <si>
    <t>徒步</t>
    <phoneticPr fontId="1" type="noConversion"/>
  </si>
  <si>
    <t>登山</t>
    <phoneticPr fontId="1" type="noConversion"/>
  </si>
  <si>
    <t>运动</t>
    <phoneticPr fontId="1" type="noConversion"/>
  </si>
  <si>
    <t>游泳</t>
    <phoneticPr fontId="1" type="noConversion"/>
  </si>
  <si>
    <t>羽毛球</t>
    <phoneticPr fontId="1" type="noConversion"/>
  </si>
  <si>
    <t>阅读</t>
    <phoneticPr fontId="1" type="noConversion"/>
  </si>
  <si>
    <t>《如果在冬夜，一个旅人》</t>
    <phoneticPr fontId="1" type="noConversion"/>
  </si>
  <si>
    <t>运动</t>
    <phoneticPr fontId="1" type="noConversion"/>
  </si>
  <si>
    <t>自重</t>
    <phoneticPr fontId="1" type="noConversion"/>
  </si>
  <si>
    <t>器械</t>
    <phoneticPr fontId="1" type="noConversion"/>
  </si>
  <si>
    <t>跑步</t>
    <phoneticPr fontId="1" type="noConversion"/>
  </si>
  <si>
    <t>星期</t>
    <phoneticPr fontId="1" type="noConversion"/>
  </si>
  <si>
    <t>徒步</t>
    <phoneticPr fontId="1" type="noConversion"/>
  </si>
  <si>
    <t>登山</t>
    <phoneticPr fontId="1" type="noConversion"/>
  </si>
  <si>
    <t>《新闻周刊》</t>
    <phoneticPr fontId="1" type="noConversion"/>
  </si>
  <si>
    <t>阅读</t>
    <phoneticPr fontId="1" type="noConversion"/>
  </si>
  <si>
    <t>运动</t>
    <phoneticPr fontId="1" type="noConversion"/>
  </si>
  <si>
    <t>自重</t>
    <phoneticPr fontId="1" type="noConversion"/>
  </si>
  <si>
    <t>器械</t>
    <phoneticPr fontId="1" type="noConversion"/>
  </si>
  <si>
    <t>跑步</t>
    <phoneticPr fontId="1" type="noConversion"/>
  </si>
  <si>
    <t>开始时间</t>
    <phoneticPr fontId="1" type="noConversion"/>
  </si>
  <si>
    <t>结束时间</t>
    <phoneticPr fontId="1" type="noConversion"/>
  </si>
  <si>
    <t>起床发呆</t>
    <phoneticPr fontId="1" type="noConversion"/>
  </si>
  <si>
    <t>早饭</t>
    <phoneticPr fontId="1" type="noConversion"/>
  </si>
  <si>
    <t>收拾屋子</t>
    <phoneticPr fontId="1" type="noConversion"/>
  </si>
  <si>
    <t>点外卖</t>
    <phoneticPr fontId="1" type="noConversion"/>
  </si>
  <si>
    <t>午饭</t>
    <phoneticPr fontId="1" type="noConversion"/>
  </si>
  <si>
    <t>午休</t>
    <phoneticPr fontId="1" type="noConversion"/>
  </si>
  <si>
    <t>挑选加湿器</t>
    <phoneticPr fontId="1" type="noConversion"/>
  </si>
  <si>
    <t>上厕所</t>
    <phoneticPr fontId="1" type="noConversion"/>
  </si>
  <si>
    <t>打电话</t>
    <phoneticPr fontId="1" type="noConversion"/>
  </si>
  <si>
    <t>拖地</t>
    <phoneticPr fontId="1" type="noConversion"/>
  </si>
  <si>
    <t>bilibili</t>
    <phoneticPr fontId="1" type="noConversion"/>
  </si>
  <si>
    <t>拟大纲</t>
    <phoneticPr fontId="1" type="noConversion"/>
  </si>
  <si>
    <t>晚饭</t>
    <phoneticPr fontId="1" type="noConversion"/>
  </si>
  <si>
    <t>洗澡</t>
    <phoneticPr fontId="1" type="noConversion"/>
  </si>
  <si>
    <t>写作</t>
    <phoneticPr fontId="1" type="noConversion"/>
  </si>
  <si>
    <t>权值</t>
    <phoneticPr fontId="1" type="noConversion"/>
  </si>
  <si>
    <t>求和项:支出时间</t>
  </si>
  <si>
    <t>列标签</t>
  </si>
  <si>
    <t>行标签</t>
  </si>
  <si>
    <t>阅读</t>
  </si>
  <si>
    <t>运动</t>
  </si>
  <si>
    <t>总计</t>
  </si>
  <si>
    <t>星期1</t>
  </si>
  <si>
    <t>星期2</t>
  </si>
  <si>
    <t>星期3</t>
  </si>
  <si>
    <t>星期4</t>
  </si>
  <si>
    <t>星期5</t>
  </si>
  <si>
    <t>星期6</t>
  </si>
  <si>
    <t>星期7</t>
  </si>
  <si>
    <t>运动</t>
    <phoneticPr fontId="1" type="noConversion"/>
  </si>
  <si>
    <t>自重</t>
    <phoneticPr fontId="1" type="noConversion"/>
  </si>
  <si>
    <t>徒步</t>
    <phoneticPr fontId="1" type="noConversion"/>
  </si>
  <si>
    <t>跑步</t>
    <phoneticPr fontId="1" type="noConversion"/>
  </si>
  <si>
    <t>阅读</t>
    <phoneticPr fontId="1" type="noConversion"/>
  </si>
  <si>
    <t>《生死疲劳》</t>
    <phoneticPr fontId="1" type="noConversion"/>
  </si>
  <si>
    <t>器械</t>
    <phoneticPr fontId="1" type="noConversion"/>
  </si>
  <si>
    <t>登山</t>
    <phoneticPr fontId="1" type="noConversion"/>
  </si>
  <si>
    <t>《新闻周刊》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</si>
</sst>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_);[Red]\(0.00\)"/>
    <numFmt numFmtId="177" formatCode="h:mm;@"/>
  </numFmts>
  <fonts count="5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0"/>
      <name val="微软雅黑"/>
      <family val="2"/>
      <charset val="134"/>
    </font>
    <font>
      <sz val="11"/>
      <color theme="1"/>
      <name val="微软雅黑"/>
      <family val="2"/>
      <charset val="134"/>
    </font>
    <font>
      <b/>
      <sz val="11"/>
      <color rgb="FF3F3F3F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rgb="FFF2F2F2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2" fillId="2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0" fontId="3" fillId="0" borderId="0" xfId="0" applyNumberFormat="1" applyFont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176" fontId="3" fillId="0" borderId="2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177" fontId="3" fillId="0" borderId="0" xfId="0" applyNumberFormat="1" applyFont="1" applyAlignment="1">
      <alignment horizontal="center" vertical="center"/>
    </xf>
    <xf numFmtId="177" fontId="2" fillId="2" borderId="0" xfId="0" applyNumberFormat="1" applyFont="1" applyFill="1" applyAlignment="1">
      <alignment horizontal="center" vertical="center"/>
    </xf>
    <xf numFmtId="0" fontId="3" fillId="0" borderId="0" xfId="0" applyFont="1" applyAlignment="1">
      <alignment horizontal="center" vertical="center" shrinkToFit="1"/>
    </xf>
    <xf numFmtId="0" fontId="3" fillId="0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0" fontId="0" fillId="0" borderId="0" xfId="0" pivotButton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4" fillId="3" borderId="3" xfId="0" applyFont="1" applyFill="1" applyBorder="1"/>
  </cellXfs>
  <cellStyles count="1">
    <cellStyle name="常规" xfId="0" builtinId="0"/>
  </cellStyles>
  <dxfs count="15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3F3F3F"/>
        <name val="等线"/>
        <charset val="134"/>
        <scheme val="minor"/>
      </font>
      <fill>
        <patternFill patternType="solid">
          <fgColor indexed="65"/>
          <bgColor rgb="FFF2F2F2"/>
        </patternFill>
      </fill>
      <border diagonalUp="0" diagonalDown="0" outline="0">
        <left style="thin">
          <color rgb="FF3F3F3F"/>
        </left>
        <right style="thin">
          <color rgb="FF3F3F3F"/>
        </right>
        <top style="thin">
          <color rgb="FF3F3F3F"/>
        </top>
        <bottom style="thin">
          <color rgb="FF3F3F3F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3F3F3F"/>
        <name val="等线"/>
        <charset val="134"/>
        <scheme val="minor"/>
      </font>
      <fill>
        <patternFill patternType="solid">
          <fgColor indexed="65"/>
          <bgColor rgb="FFF2F2F2"/>
        </patternFill>
      </fill>
      <border diagonalUp="0" diagonalDown="0" outline="0">
        <left style="thin">
          <color rgb="FF3F3F3F"/>
        </left>
        <right style="thin">
          <color rgb="FF3F3F3F"/>
        </right>
        <top style="thin">
          <color rgb="FF3F3F3F"/>
        </top>
        <bottom style="thin">
          <color rgb="FF3F3F3F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3F3F3F"/>
        <name val="等线"/>
        <charset val="134"/>
        <scheme val="minor"/>
      </font>
      <fill>
        <patternFill patternType="solid">
          <fgColor indexed="65"/>
          <bgColor rgb="FFF2F2F2"/>
        </patternFill>
      </fill>
      <border diagonalUp="0" diagonalDown="0" outline="0">
        <left style="thin">
          <color rgb="FF3F3F3F"/>
        </left>
        <right style="thin">
          <color rgb="FF3F3F3F"/>
        </right>
        <top style="thin">
          <color rgb="FF3F3F3F"/>
        </top>
        <bottom style="thin">
          <color rgb="FF3F3F3F"/>
        </bottom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作者" refreshedDate="44556.972535995374" createdVersion="6" refreshedVersion="6" minRefreshableVersion="3" recordCount="30" xr:uid="{2FFE9293-B929-4E59-A183-E01A0B104689}">
  <cacheSource type="worksheet">
    <worksheetSource ref="A1:E31" sheet="活动源数据"/>
  </cacheSource>
  <cacheFields count="5">
    <cacheField name="日期" numFmtId="14">
      <sharedItems containsSemiMixedTypes="0" containsNonDate="0" containsDate="1" containsString="0" minDate="2021-11-22T00:00:00" maxDate="2021-12-06T00:00:00" count="13">
        <d v="2021-11-22T00:00:00"/>
        <d v="2021-11-23T00:00:00"/>
        <d v="2021-11-24T00:00:00"/>
        <d v="2021-11-25T00:00:00"/>
        <d v="2021-11-26T00:00:00"/>
        <d v="2021-11-28T00:00:00"/>
        <d v="2021-11-29T00:00:00"/>
        <d v="2021-11-30T00:00:00"/>
        <d v="2021-12-01T00:00:00"/>
        <d v="2021-12-02T00:00:00"/>
        <d v="2021-12-03T00:00:00"/>
        <d v="2021-12-04T00:00:00"/>
        <d v="2021-12-05T00:00:00"/>
      </sharedItems>
      <fieldGroup base="0">
        <rangePr groupBy="days" startDate="2021-11-22T00:00:00" endDate="2021-12-06T00:00:00" groupInterval="7"/>
        <groupItems count="4">
          <s v="&lt;2021/11/22"/>
          <s v="2021/11/22 - 2021/11/28"/>
          <s v="2021/11/29 - 2021/12/5"/>
          <s v="&gt;2021/12/6"/>
        </groupItems>
      </fieldGroup>
    </cacheField>
    <cacheField name="活动" numFmtId="0">
      <sharedItems count="2">
        <s v="阅读"/>
        <s v="运动"/>
      </sharedItems>
    </cacheField>
    <cacheField name="子类" numFmtId="0">
      <sharedItems/>
    </cacheField>
    <cacheField name="支出时间" numFmtId="0">
      <sharedItems containsSemiMixedTypes="0" containsString="0" containsNumber="1" containsInteger="1" minValue="10" maxValue="200"/>
    </cacheField>
    <cacheField name="星期" numFmtId="0">
      <sharedItems count="7">
        <s v="星期1"/>
        <s v="星期2"/>
        <s v="星期3"/>
        <s v="星期4"/>
        <s v="星期5"/>
        <s v="星期7"/>
        <s v="星期6"/>
      </sharedItems>
    </cacheField>
  </cacheFields>
  <extLst>
    <ext xmlns:x14="http://schemas.microsoft.com/office/spreadsheetml/2009/9/main" uri="{725AE2AE-9491-48be-B2B4-4EB974FC3084}">
      <x14:pivotCacheDefinition pivotCacheId="191397482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">
  <r>
    <x v="0"/>
    <x v="0"/>
    <s v="《如果在冬夜，一个旅人》"/>
    <n v="52"/>
    <x v="0"/>
  </r>
  <r>
    <x v="0"/>
    <x v="1"/>
    <s v="自重"/>
    <n v="20"/>
    <x v="0"/>
  </r>
  <r>
    <x v="1"/>
    <x v="0"/>
    <s v="《如果在冬夜，一个旅人》"/>
    <n v="70"/>
    <x v="1"/>
  </r>
  <r>
    <x v="1"/>
    <x v="1"/>
    <s v="自重"/>
    <n v="20"/>
    <x v="1"/>
  </r>
  <r>
    <x v="2"/>
    <x v="1"/>
    <s v="自重"/>
    <n v="20"/>
    <x v="2"/>
  </r>
  <r>
    <x v="2"/>
    <x v="1"/>
    <s v="器械"/>
    <n v="40"/>
    <x v="2"/>
  </r>
  <r>
    <x v="2"/>
    <x v="1"/>
    <s v="跑步"/>
    <n v="80"/>
    <x v="2"/>
  </r>
  <r>
    <x v="3"/>
    <x v="1"/>
    <s v="自重"/>
    <n v="10"/>
    <x v="3"/>
  </r>
  <r>
    <x v="4"/>
    <x v="1"/>
    <s v="自重"/>
    <n v="20"/>
    <x v="4"/>
  </r>
  <r>
    <x v="4"/>
    <x v="1"/>
    <s v="器械"/>
    <n v="60"/>
    <x v="4"/>
  </r>
  <r>
    <x v="4"/>
    <x v="1"/>
    <s v="徒步"/>
    <n v="200"/>
    <x v="4"/>
  </r>
  <r>
    <x v="5"/>
    <x v="1"/>
    <s v="登山"/>
    <n v="181"/>
    <x v="5"/>
  </r>
  <r>
    <x v="5"/>
    <x v="0"/>
    <s v="《如果在冬夜，一个旅人》"/>
    <n v="40"/>
    <x v="5"/>
  </r>
  <r>
    <x v="5"/>
    <x v="0"/>
    <s v="《新闻周刊》"/>
    <n v="45"/>
    <x v="5"/>
  </r>
  <r>
    <x v="6"/>
    <x v="0"/>
    <s v="《如果在冬夜，一个旅人》"/>
    <n v="48"/>
    <x v="0"/>
  </r>
  <r>
    <x v="6"/>
    <x v="1"/>
    <s v="自重"/>
    <n v="20"/>
    <x v="0"/>
  </r>
  <r>
    <x v="7"/>
    <x v="1"/>
    <s v="自重"/>
    <n v="20"/>
    <x v="1"/>
  </r>
  <r>
    <x v="7"/>
    <x v="1"/>
    <s v="器械"/>
    <n v="18"/>
    <x v="1"/>
  </r>
  <r>
    <x v="7"/>
    <x v="1"/>
    <s v="跑步"/>
    <n v="47"/>
    <x v="1"/>
  </r>
  <r>
    <x v="8"/>
    <x v="0"/>
    <s v="《如果在冬夜，一个旅人》"/>
    <n v="38"/>
    <x v="2"/>
  </r>
  <r>
    <x v="8"/>
    <x v="1"/>
    <s v="自重"/>
    <n v="20"/>
    <x v="2"/>
  </r>
  <r>
    <x v="8"/>
    <x v="1"/>
    <s v="器械"/>
    <n v="60"/>
    <x v="2"/>
  </r>
  <r>
    <x v="9"/>
    <x v="0"/>
    <s v="《如果在冬夜，一个旅人》"/>
    <n v="23"/>
    <x v="3"/>
  </r>
  <r>
    <x v="9"/>
    <x v="1"/>
    <s v="自重"/>
    <n v="20"/>
    <x v="3"/>
  </r>
  <r>
    <x v="10"/>
    <x v="0"/>
    <s v="《如果在冬夜，一个旅人》"/>
    <n v="45"/>
    <x v="4"/>
  </r>
  <r>
    <x v="10"/>
    <x v="1"/>
    <s v="自重"/>
    <n v="20"/>
    <x v="4"/>
  </r>
  <r>
    <x v="11"/>
    <x v="0"/>
    <s v="《新闻周刊》"/>
    <n v="45"/>
    <x v="6"/>
  </r>
  <r>
    <x v="11"/>
    <x v="0"/>
    <s v="《如果在冬夜，一个旅人》"/>
    <n v="78"/>
    <x v="6"/>
  </r>
  <r>
    <x v="11"/>
    <x v="1"/>
    <s v="自重"/>
    <n v="20"/>
    <x v="6"/>
  </r>
  <r>
    <x v="12"/>
    <x v="0"/>
    <s v="《如果在冬夜，一个旅人》"/>
    <n v="30"/>
    <x v="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B89A775-D870-47F3-8B3A-EE00A26BE7F5}" name="数据透视表2" cacheId="51" applyNumberFormats="0" applyBorderFormats="0" applyFontFormats="0" applyPatternFormats="0" applyAlignmentFormats="0" applyWidthHeightFormats="1" dataCaption="值" missingCaption="0" updatedVersion="6" minRefreshableVersion="3" colGrandTotals="0" itemPrintTitles="1" createdVersion="6" indent="0" outline="1" outlineData="1" multipleFieldFilters="0">
  <location ref="A3:C12" firstHeaderRow="1" firstDataRow="2" firstDataCol="1"/>
  <pivotFields count="5">
    <pivotField numFmtId="14" outline="0" showAll="0"/>
    <pivotField axis="axisCol" showAll="0">
      <items count="3">
        <item x="0"/>
        <item x="1"/>
        <item t="default"/>
      </items>
    </pivotField>
    <pivotField showAll="0"/>
    <pivotField dataField="1" showAll="0"/>
    <pivotField axis="axisRow">
      <items count="8">
        <item x="0"/>
        <item x="1"/>
        <item x="2"/>
        <item x="3"/>
        <item x="4"/>
        <item x="6"/>
        <item x="5"/>
        <item t="default"/>
      </items>
    </pivotField>
  </pivotFields>
  <rowFields count="1">
    <field x="4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1"/>
  </colFields>
  <colItems count="2">
    <i>
      <x/>
    </i>
    <i>
      <x v="1"/>
    </i>
  </colItems>
  <dataFields count="1">
    <dataField name="求和项:支出时间" fld="3" baseField="0" baseItem="0"/>
  </dataFields>
  <formats count="15">
    <format dxfId="14">
      <pivotArea outline="0" collapsedLevelsAreSubtotals="1" fieldPosition="0"/>
    </format>
    <format dxfId="13">
      <pivotArea field="4" type="button" dataOnly="0" labelOnly="1" outline="0" axis="axisRow" fieldPosition="0"/>
    </format>
    <format dxfId="12">
      <pivotArea dataOnly="0" labelOnly="1" fieldPosition="0">
        <references count="1">
          <reference field="4" count="0"/>
        </references>
      </pivotArea>
    </format>
    <format dxfId="11">
      <pivotArea dataOnly="0" labelOnly="1" grandRow="1" outline="0" fieldPosition="0"/>
    </format>
    <format dxfId="10">
      <pivotArea dataOnly="0" labelOnly="1" fieldPosition="0">
        <references count="1">
          <reference field="1" count="0"/>
        </references>
      </pivotArea>
    </format>
    <format dxfId="9">
      <pivotArea dataOnly="0" labelOnly="1" grandCol="1" outline="0" fieldPosition="0"/>
    </format>
    <format dxfId="8">
      <pivotArea outline="0" collapsedLevelsAreSubtotals="1" fieldPosition="0"/>
    </format>
    <format dxfId="7">
      <pivotArea field="4" type="button" dataOnly="0" labelOnly="1" outline="0" axis="axisRow" fieldPosition="0"/>
    </format>
    <format dxfId="6">
      <pivotArea dataOnly="0" labelOnly="1" fieldPosition="0">
        <references count="1">
          <reference field="4" count="0"/>
        </references>
      </pivotArea>
    </format>
    <format dxfId="5">
      <pivotArea dataOnly="0" labelOnly="1" grandRow="1" outline="0" fieldPosition="0"/>
    </format>
    <format dxfId="4">
      <pivotArea dataOnly="0" labelOnly="1" fieldPosition="0">
        <references count="1">
          <reference field="1" count="0"/>
        </references>
      </pivotArea>
    </format>
    <format dxfId="3">
      <pivotArea dataOnly="0" labelOnly="1" grandCol="1" outline="0" fieldPosition="0"/>
    </format>
    <format dxfId="2">
      <pivotArea type="origin" dataOnly="0" labelOnly="1" outline="0" fieldPosition="0"/>
    </format>
    <format dxfId="1">
      <pivotArea field="1" type="button" dataOnly="0" labelOnly="1" outline="0" axis="axisCol" fieldPosition="0"/>
    </format>
    <format dxfId="0">
      <pivotArea type="topRight" dataOnly="0" labelOnly="1" outline="0" fieldPosition="0"/>
    </format>
  </formats>
  <pivotTableStyleInfo name="PivotStyleLight22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5BEF9-2F2C-45A0-BAA2-E781A0D060C2}">
  <dimension ref="A3:C12"/>
  <sheetViews>
    <sheetView zoomScale="98" zoomScaleNormal="98" workbookViewId="0">
      <selection activeCell="B6" sqref="B6"/>
    </sheetView>
  </sheetViews>
  <sheetFormatPr defaultRowHeight="14" x14ac:dyDescent="0.3"/>
  <cols>
    <col min="1" max="1" width="14.75" bestFit="1" customWidth="1"/>
    <col min="2" max="2" width="14.33203125" customWidth="1"/>
    <col min="3" max="3" width="14.58203125" customWidth="1"/>
    <col min="4" max="4" width="4.83203125" customWidth="1"/>
  </cols>
  <sheetData>
    <row r="3" spans="1:3" x14ac:dyDescent="0.3">
      <c r="A3" s="20" t="s">
        <v>48</v>
      </c>
      <c r="B3" s="20" t="s">
        <v>49</v>
      </c>
      <c r="C3" s="20"/>
    </row>
    <row r="4" spans="1:3" x14ac:dyDescent="0.3">
      <c r="A4" s="17" t="s">
        <v>50</v>
      </c>
      <c r="B4" s="18" t="s">
        <v>51</v>
      </c>
      <c r="C4" s="18" t="s">
        <v>52</v>
      </c>
    </row>
    <row r="5" spans="1:3" x14ac:dyDescent="0.3">
      <c r="A5" s="18" t="s">
        <v>54</v>
      </c>
      <c r="B5" s="19">
        <v>100</v>
      </c>
      <c r="C5" s="19">
        <v>40</v>
      </c>
    </row>
    <row r="6" spans="1:3" x14ac:dyDescent="0.3">
      <c r="A6" s="18" t="s">
        <v>55</v>
      </c>
      <c r="B6" s="19">
        <v>70</v>
      </c>
      <c r="C6" s="19">
        <v>105</v>
      </c>
    </row>
    <row r="7" spans="1:3" x14ac:dyDescent="0.3">
      <c r="A7" s="18" t="s">
        <v>56</v>
      </c>
      <c r="B7" s="19">
        <v>38</v>
      </c>
      <c r="C7" s="19">
        <v>220</v>
      </c>
    </row>
    <row r="8" spans="1:3" x14ac:dyDescent="0.3">
      <c r="A8" s="18" t="s">
        <v>57</v>
      </c>
      <c r="B8" s="19">
        <v>23</v>
      </c>
      <c r="C8" s="19">
        <v>30</v>
      </c>
    </row>
    <row r="9" spans="1:3" x14ac:dyDescent="0.3">
      <c r="A9" s="18" t="s">
        <v>58</v>
      </c>
      <c r="B9" s="19">
        <v>45</v>
      </c>
      <c r="C9" s="19">
        <v>300</v>
      </c>
    </row>
    <row r="10" spans="1:3" x14ac:dyDescent="0.3">
      <c r="A10" s="18" t="s">
        <v>59</v>
      </c>
      <c r="B10" s="19">
        <v>123</v>
      </c>
      <c r="C10" s="19">
        <v>20</v>
      </c>
    </row>
    <row r="11" spans="1:3" x14ac:dyDescent="0.3">
      <c r="A11" s="18" t="s">
        <v>60</v>
      </c>
      <c r="B11" s="19">
        <v>115</v>
      </c>
      <c r="C11" s="19">
        <v>181</v>
      </c>
    </row>
    <row r="12" spans="1:3" x14ac:dyDescent="0.3">
      <c r="A12" s="18" t="s">
        <v>53</v>
      </c>
      <c r="B12" s="19">
        <v>514</v>
      </c>
      <c r="C12" s="19">
        <v>896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1"/>
  <sheetViews>
    <sheetView tabSelected="1" topLeftCell="A27" workbookViewId="0">
      <selection activeCell="D59" sqref="D59"/>
    </sheetView>
  </sheetViews>
  <sheetFormatPr defaultRowHeight="16.5" x14ac:dyDescent="0.3"/>
  <cols>
    <col min="1" max="1" width="12.08203125" style="2" customWidth="1"/>
    <col min="2" max="2" width="14.4140625" style="2" customWidth="1"/>
    <col min="3" max="3" width="15.4140625" style="2" customWidth="1"/>
    <col min="4" max="4" width="15.83203125" style="2" customWidth="1"/>
    <col min="5" max="5" width="9" style="2" bestFit="1" customWidth="1"/>
    <col min="6" max="16384" width="8.6640625" style="2"/>
  </cols>
  <sheetData>
    <row r="1" spans="1:5" x14ac:dyDescent="0.3">
      <c r="A1" s="1" t="s">
        <v>0</v>
      </c>
      <c r="B1" s="1" t="s">
        <v>2</v>
      </c>
      <c r="C1" s="1" t="s">
        <v>1</v>
      </c>
      <c r="D1" s="1" t="s">
        <v>3</v>
      </c>
      <c r="E1" s="1" t="s">
        <v>21</v>
      </c>
    </row>
    <row r="2" spans="1:5" x14ac:dyDescent="0.3">
      <c r="A2" s="3">
        <v>44522</v>
      </c>
      <c r="B2" s="2" t="s">
        <v>15</v>
      </c>
      <c r="C2" s="12" t="s">
        <v>16</v>
      </c>
      <c r="D2" s="2">
        <v>52</v>
      </c>
      <c r="E2" s="2" t="str">
        <f t="shared" ref="E2:E73" si="0">"星期"&amp;WEEKDAY(A2,2)</f>
        <v>星期1</v>
      </c>
    </row>
    <row r="3" spans="1:5" x14ac:dyDescent="0.3">
      <c r="A3" s="3">
        <v>44522</v>
      </c>
      <c r="B3" s="2" t="s">
        <v>17</v>
      </c>
      <c r="C3" s="2" t="s">
        <v>18</v>
      </c>
      <c r="D3" s="2">
        <v>20</v>
      </c>
      <c r="E3" s="2" t="str">
        <f t="shared" si="0"/>
        <v>星期1</v>
      </c>
    </row>
    <row r="4" spans="1:5" x14ac:dyDescent="0.3">
      <c r="A4" s="3">
        <v>44523</v>
      </c>
      <c r="B4" s="2" t="s">
        <v>15</v>
      </c>
      <c r="C4" s="12" t="s">
        <v>16</v>
      </c>
      <c r="D4" s="2">
        <v>70</v>
      </c>
      <c r="E4" s="2" t="str">
        <f t="shared" si="0"/>
        <v>星期2</v>
      </c>
    </row>
    <row r="5" spans="1:5" x14ac:dyDescent="0.3">
      <c r="A5" s="3">
        <v>44523</v>
      </c>
      <c r="B5" s="2" t="s">
        <v>17</v>
      </c>
      <c r="C5" s="2" t="s">
        <v>18</v>
      </c>
      <c r="D5" s="2">
        <v>20</v>
      </c>
      <c r="E5" s="2" t="str">
        <f t="shared" si="0"/>
        <v>星期2</v>
      </c>
    </row>
    <row r="6" spans="1:5" x14ac:dyDescent="0.3">
      <c r="A6" s="3">
        <v>44524</v>
      </c>
      <c r="B6" s="2" t="s">
        <v>17</v>
      </c>
      <c r="C6" s="2" t="s">
        <v>18</v>
      </c>
      <c r="D6" s="2">
        <v>20</v>
      </c>
      <c r="E6" s="2" t="str">
        <f t="shared" si="0"/>
        <v>星期3</v>
      </c>
    </row>
    <row r="7" spans="1:5" x14ac:dyDescent="0.3">
      <c r="A7" s="3">
        <v>44524</v>
      </c>
      <c r="B7" s="2" t="s">
        <v>17</v>
      </c>
      <c r="C7" s="2" t="s">
        <v>19</v>
      </c>
      <c r="D7" s="2">
        <v>40</v>
      </c>
      <c r="E7" s="2" t="str">
        <f t="shared" si="0"/>
        <v>星期3</v>
      </c>
    </row>
    <row r="8" spans="1:5" x14ac:dyDescent="0.3">
      <c r="A8" s="3">
        <v>44524</v>
      </c>
      <c r="B8" s="2" t="s">
        <v>17</v>
      </c>
      <c r="C8" s="2" t="s">
        <v>20</v>
      </c>
      <c r="D8" s="2">
        <v>80</v>
      </c>
      <c r="E8" s="2" t="str">
        <f t="shared" si="0"/>
        <v>星期3</v>
      </c>
    </row>
    <row r="9" spans="1:5" x14ac:dyDescent="0.3">
      <c r="A9" s="3">
        <v>44525</v>
      </c>
      <c r="B9" s="2" t="s">
        <v>17</v>
      </c>
      <c r="C9" s="2" t="s">
        <v>18</v>
      </c>
      <c r="D9" s="2">
        <v>10</v>
      </c>
      <c r="E9" s="2" t="str">
        <f t="shared" si="0"/>
        <v>星期4</v>
      </c>
    </row>
    <row r="10" spans="1:5" x14ac:dyDescent="0.3">
      <c r="A10" s="3">
        <v>44526</v>
      </c>
      <c r="B10" s="2" t="s">
        <v>17</v>
      </c>
      <c r="C10" s="2" t="s">
        <v>18</v>
      </c>
      <c r="D10" s="2">
        <v>20</v>
      </c>
      <c r="E10" s="2" t="str">
        <f t="shared" si="0"/>
        <v>星期5</v>
      </c>
    </row>
    <row r="11" spans="1:5" x14ac:dyDescent="0.3">
      <c r="A11" s="3">
        <v>44526</v>
      </c>
      <c r="B11" s="2" t="s">
        <v>17</v>
      </c>
      <c r="C11" s="2" t="s">
        <v>19</v>
      </c>
      <c r="D11" s="2">
        <v>60</v>
      </c>
      <c r="E11" s="2" t="str">
        <f t="shared" si="0"/>
        <v>星期5</v>
      </c>
    </row>
    <row r="12" spans="1:5" x14ac:dyDescent="0.3">
      <c r="A12" s="3">
        <v>44526</v>
      </c>
      <c r="B12" s="2" t="s">
        <v>17</v>
      </c>
      <c r="C12" s="13" t="s">
        <v>22</v>
      </c>
      <c r="D12" s="13">
        <v>200</v>
      </c>
      <c r="E12" s="2" t="str">
        <f t="shared" si="0"/>
        <v>星期5</v>
      </c>
    </row>
    <row r="13" spans="1:5" x14ac:dyDescent="0.3">
      <c r="A13" s="3">
        <v>44528</v>
      </c>
      <c r="B13" s="2" t="s">
        <v>17</v>
      </c>
      <c r="C13" s="2" t="s">
        <v>23</v>
      </c>
      <c r="D13" s="2">
        <v>181</v>
      </c>
      <c r="E13" s="2" t="str">
        <f t="shared" si="0"/>
        <v>星期7</v>
      </c>
    </row>
    <row r="14" spans="1:5" x14ac:dyDescent="0.3">
      <c r="A14" s="3">
        <v>44528</v>
      </c>
      <c r="B14" s="2" t="s">
        <v>15</v>
      </c>
      <c r="C14" s="12" t="s">
        <v>16</v>
      </c>
      <c r="D14" s="2">
        <v>40</v>
      </c>
      <c r="E14" s="2" t="str">
        <f t="shared" si="0"/>
        <v>星期7</v>
      </c>
    </row>
    <row r="15" spans="1:5" x14ac:dyDescent="0.3">
      <c r="A15" s="3">
        <v>44528</v>
      </c>
      <c r="B15" s="2" t="s">
        <v>15</v>
      </c>
      <c r="C15" s="12" t="s">
        <v>24</v>
      </c>
      <c r="D15" s="2">
        <v>45</v>
      </c>
      <c r="E15" s="2" t="str">
        <f t="shared" si="0"/>
        <v>星期7</v>
      </c>
    </row>
    <row r="16" spans="1:5" x14ac:dyDescent="0.3">
      <c r="A16" s="3">
        <v>44529</v>
      </c>
      <c r="B16" s="2" t="s">
        <v>25</v>
      </c>
      <c r="C16" s="12" t="s">
        <v>16</v>
      </c>
      <c r="D16" s="2">
        <v>48</v>
      </c>
      <c r="E16" s="2" t="str">
        <f t="shared" si="0"/>
        <v>星期1</v>
      </c>
    </row>
    <row r="17" spans="1:5" x14ac:dyDescent="0.3">
      <c r="A17" s="3">
        <v>44529</v>
      </c>
      <c r="B17" s="2" t="s">
        <v>26</v>
      </c>
      <c r="C17" s="12" t="s">
        <v>27</v>
      </c>
      <c r="D17" s="2">
        <v>20</v>
      </c>
      <c r="E17" s="2" t="str">
        <f t="shared" si="0"/>
        <v>星期1</v>
      </c>
    </row>
    <row r="18" spans="1:5" x14ac:dyDescent="0.3">
      <c r="A18" s="3">
        <v>44530</v>
      </c>
      <c r="B18" s="2" t="s">
        <v>26</v>
      </c>
      <c r="C18" s="12" t="s">
        <v>27</v>
      </c>
      <c r="D18" s="2">
        <v>20</v>
      </c>
      <c r="E18" s="2" t="str">
        <f t="shared" si="0"/>
        <v>星期2</v>
      </c>
    </row>
    <row r="19" spans="1:5" x14ac:dyDescent="0.3">
      <c r="A19" s="3">
        <v>44530</v>
      </c>
      <c r="B19" s="2" t="s">
        <v>26</v>
      </c>
      <c r="C19" s="12" t="s">
        <v>28</v>
      </c>
      <c r="D19" s="2">
        <v>18</v>
      </c>
      <c r="E19" s="2" t="str">
        <f t="shared" si="0"/>
        <v>星期2</v>
      </c>
    </row>
    <row r="20" spans="1:5" x14ac:dyDescent="0.3">
      <c r="A20" s="3">
        <v>44530</v>
      </c>
      <c r="B20" s="2" t="s">
        <v>26</v>
      </c>
      <c r="C20" s="12" t="s">
        <v>29</v>
      </c>
      <c r="D20" s="2">
        <v>47</v>
      </c>
      <c r="E20" s="2" t="str">
        <f t="shared" si="0"/>
        <v>星期2</v>
      </c>
    </row>
    <row r="21" spans="1:5" x14ac:dyDescent="0.3">
      <c r="A21" s="3">
        <v>44531</v>
      </c>
      <c r="B21" s="2" t="s">
        <v>25</v>
      </c>
      <c r="C21" s="12" t="s">
        <v>16</v>
      </c>
      <c r="D21" s="2">
        <v>38</v>
      </c>
      <c r="E21" s="2" t="str">
        <f t="shared" si="0"/>
        <v>星期3</v>
      </c>
    </row>
    <row r="22" spans="1:5" x14ac:dyDescent="0.3">
      <c r="A22" s="3">
        <v>44531</v>
      </c>
      <c r="B22" s="2" t="s">
        <v>26</v>
      </c>
      <c r="C22" s="12" t="s">
        <v>27</v>
      </c>
      <c r="D22" s="2">
        <v>20</v>
      </c>
      <c r="E22" s="2" t="str">
        <f t="shared" si="0"/>
        <v>星期3</v>
      </c>
    </row>
    <row r="23" spans="1:5" x14ac:dyDescent="0.3">
      <c r="A23" s="3">
        <v>44531</v>
      </c>
      <c r="B23" s="2" t="s">
        <v>26</v>
      </c>
      <c r="C23" s="12" t="s">
        <v>28</v>
      </c>
      <c r="D23" s="2">
        <v>60</v>
      </c>
      <c r="E23" s="2" t="str">
        <f t="shared" si="0"/>
        <v>星期3</v>
      </c>
    </row>
    <row r="24" spans="1:5" x14ac:dyDescent="0.3">
      <c r="A24" s="3">
        <v>44532</v>
      </c>
      <c r="B24" s="2" t="s">
        <v>25</v>
      </c>
      <c r="C24" s="12" t="s">
        <v>16</v>
      </c>
      <c r="D24" s="2">
        <v>23</v>
      </c>
      <c r="E24" s="2" t="str">
        <f t="shared" si="0"/>
        <v>星期4</v>
      </c>
    </row>
    <row r="25" spans="1:5" x14ac:dyDescent="0.3">
      <c r="A25" s="3">
        <v>44532</v>
      </c>
      <c r="B25" s="2" t="s">
        <v>26</v>
      </c>
      <c r="C25" s="12" t="s">
        <v>27</v>
      </c>
      <c r="D25" s="2">
        <v>20</v>
      </c>
      <c r="E25" s="2" t="str">
        <f t="shared" si="0"/>
        <v>星期4</v>
      </c>
    </row>
    <row r="26" spans="1:5" x14ac:dyDescent="0.3">
      <c r="A26" s="3">
        <v>44533</v>
      </c>
      <c r="B26" s="2" t="s">
        <v>25</v>
      </c>
      <c r="C26" s="12" t="s">
        <v>16</v>
      </c>
      <c r="D26" s="2">
        <v>45</v>
      </c>
      <c r="E26" s="2" t="str">
        <f t="shared" si="0"/>
        <v>星期5</v>
      </c>
    </row>
    <row r="27" spans="1:5" x14ac:dyDescent="0.3">
      <c r="A27" s="3">
        <v>44533</v>
      </c>
      <c r="B27" s="2" t="s">
        <v>26</v>
      </c>
      <c r="C27" s="12" t="s">
        <v>27</v>
      </c>
      <c r="D27" s="2">
        <v>20</v>
      </c>
      <c r="E27" s="2" t="str">
        <f t="shared" si="0"/>
        <v>星期5</v>
      </c>
    </row>
    <row r="28" spans="1:5" x14ac:dyDescent="0.3">
      <c r="A28" s="3">
        <v>44534</v>
      </c>
      <c r="B28" s="2" t="s">
        <v>25</v>
      </c>
      <c r="C28" s="12" t="s">
        <v>24</v>
      </c>
      <c r="D28" s="2">
        <v>45</v>
      </c>
      <c r="E28" s="2" t="str">
        <f t="shared" si="0"/>
        <v>星期6</v>
      </c>
    </row>
    <row r="29" spans="1:5" x14ac:dyDescent="0.3">
      <c r="A29" s="3">
        <v>44534</v>
      </c>
      <c r="B29" s="2" t="s">
        <v>25</v>
      </c>
      <c r="C29" s="12" t="s">
        <v>16</v>
      </c>
      <c r="D29" s="2">
        <v>78</v>
      </c>
      <c r="E29" s="2" t="str">
        <f t="shared" si="0"/>
        <v>星期6</v>
      </c>
    </row>
    <row r="30" spans="1:5" x14ac:dyDescent="0.3">
      <c r="A30" s="3">
        <v>44534</v>
      </c>
      <c r="B30" s="2" t="s">
        <v>26</v>
      </c>
      <c r="C30" s="12" t="s">
        <v>27</v>
      </c>
      <c r="D30" s="2">
        <v>20</v>
      </c>
      <c r="E30" s="2" t="str">
        <f t="shared" si="0"/>
        <v>星期6</v>
      </c>
    </row>
    <row r="31" spans="1:5" x14ac:dyDescent="0.3">
      <c r="A31" s="3">
        <v>44535</v>
      </c>
      <c r="B31" s="2" t="s">
        <v>25</v>
      </c>
      <c r="C31" s="12" t="s">
        <v>16</v>
      </c>
      <c r="D31" s="2">
        <v>30</v>
      </c>
      <c r="E31" s="2" t="str">
        <f t="shared" si="0"/>
        <v>星期7</v>
      </c>
    </row>
    <row r="32" spans="1:5" x14ac:dyDescent="0.3">
      <c r="A32" s="3">
        <v>44536</v>
      </c>
      <c r="B32" s="2" t="s">
        <v>61</v>
      </c>
      <c r="C32" s="2" t="s">
        <v>62</v>
      </c>
      <c r="D32" s="2">
        <v>20</v>
      </c>
      <c r="E32" s="2" t="str">
        <f t="shared" si="0"/>
        <v>星期1</v>
      </c>
    </row>
    <row r="33" spans="1:5" x14ac:dyDescent="0.3">
      <c r="A33" s="3">
        <v>44537</v>
      </c>
      <c r="B33" s="2" t="s">
        <v>61</v>
      </c>
      <c r="C33" s="2" t="s">
        <v>63</v>
      </c>
      <c r="D33" s="2">
        <v>70</v>
      </c>
      <c r="E33" s="2" t="str">
        <f t="shared" si="0"/>
        <v>星期2</v>
      </c>
    </row>
    <row r="34" spans="1:5" x14ac:dyDescent="0.3">
      <c r="A34" s="3">
        <v>44537</v>
      </c>
      <c r="B34" s="2" t="s">
        <v>61</v>
      </c>
      <c r="C34" s="2" t="s">
        <v>62</v>
      </c>
      <c r="D34" s="2">
        <v>20</v>
      </c>
      <c r="E34" s="2" t="str">
        <f t="shared" si="0"/>
        <v>星期2</v>
      </c>
    </row>
    <row r="35" spans="1:5" x14ac:dyDescent="0.3">
      <c r="A35" s="3">
        <v>44538</v>
      </c>
      <c r="B35" s="2" t="s">
        <v>65</v>
      </c>
      <c r="C35" s="2" t="s">
        <v>66</v>
      </c>
      <c r="D35" s="2">
        <v>65</v>
      </c>
      <c r="E35" s="2" t="str">
        <f t="shared" si="0"/>
        <v>星期3</v>
      </c>
    </row>
    <row r="36" spans="1:5" x14ac:dyDescent="0.3">
      <c r="A36" s="3">
        <v>44538</v>
      </c>
      <c r="B36" s="2" t="s">
        <v>61</v>
      </c>
      <c r="C36" s="2" t="s">
        <v>62</v>
      </c>
      <c r="D36" s="2">
        <v>20</v>
      </c>
      <c r="E36" s="2" t="str">
        <f t="shared" si="0"/>
        <v>星期3</v>
      </c>
    </row>
    <row r="37" spans="1:5" x14ac:dyDescent="0.3">
      <c r="A37" s="3">
        <v>44539</v>
      </c>
      <c r="B37" s="2" t="s">
        <v>61</v>
      </c>
      <c r="C37" s="2" t="s">
        <v>62</v>
      </c>
      <c r="D37" s="2">
        <v>21</v>
      </c>
      <c r="E37" s="2" t="str">
        <f t="shared" si="0"/>
        <v>星期4</v>
      </c>
    </row>
    <row r="38" spans="1:5" x14ac:dyDescent="0.3">
      <c r="A38" s="3">
        <v>44540</v>
      </c>
      <c r="B38" s="2" t="s">
        <v>65</v>
      </c>
      <c r="C38" s="2" t="s">
        <v>66</v>
      </c>
      <c r="D38" s="2">
        <v>73</v>
      </c>
      <c r="E38" s="2" t="str">
        <f t="shared" si="0"/>
        <v>星期5</v>
      </c>
    </row>
    <row r="39" spans="1:5" x14ac:dyDescent="0.3">
      <c r="A39" s="3">
        <v>44540</v>
      </c>
      <c r="B39" s="2" t="s">
        <v>61</v>
      </c>
      <c r="C39" s="2" t="s">
        <v>62</v>
      </c>
      <c r="D39" s="2">
        <v>22</v>
      </c>
      <c r="E39" s="2" t="str">
        <f t="shared" si="0"/>
        <v>星期5</v>
      </c>
    </row>
    <row r="40" spans="1:5" x14ac:dyDescent="0.3">
      <c r="A40" s="3">
        <v>44541</v>
      </c>
      <c r="B40" s="2" t="s">
        <v>65</v>
      </c>
      <c r="C40" s="2" t="s">
        <v>66</v>
      </c>
      <c r="D40" s="2">
        <v>25</v>
      </c>
      <c r="E40" s="2" t="str">
        <f t="shared" si="0"/>
        <v>星期6</v>
      </c>
    </row>
    <row r="41" spans="1:5" x14ac:dyDescent="0.3">
      <c r="A41" s="3">
        <v>44541</v>
      </c>
      <c r="B41" s="2" t="s">
        <v>61</v>
      </c>
      <c r="C41" s="2" t="s">
        <v>64</v>
      </c>
      <c r="D41" s="2">
        <v>200</v>
      </c>
      <c r="E41" s="2" t="str">
        <f t="shared" si="0"/>
        <v>星期6</v>
      </c>
    </row>
    <row r="42" spans="1:5" x14ac:dyDescent="0.3">
      <c r="A42" s="3">
        <v>44542</v>
      </c>
      <c r="B42" s="2" t="s">
        <v>65</v>
      </c>
      <c r="C42" s="2" t="s">
        <v>69</v>
      </c>
      <c r="D42" s="2">
        <v>45</v>
      </c>
      <c r="E42" s="2" t="str">
        <f t="shared" si="0"/>
        <v>星期7</v>
      </c>
    </row>
    <row r="43" spans="1:5" x14ac:dyDescent="0.3">
      <c r="A43" s="3">
        <v>44543</v>
      </c>
      <c r="B43" s="2" t="s">
        <v>61</v>
      </c>
      <c r="C43" s="2" t="s">
        <v>62</v>
      </c>
      <c r="D43" s="2">
        <v>20</v>
      </c>
      <c r="E43" s="2" t="str">
        <f t="shared" si="0"/>
        <v>星期1</v>
      </c>
    </row>
    <row r="44" spans="1:5" x14ac:dyDescent="0.3">
      <c r="A44" s="3">
        <v>44545</v>
      </c>
      <c r="B44" s="2" t="s">
        <v>61</v>
      </c>
      <c r="C44" s="2" t="s">
        <v>67</v>
      </c>
      <c r="D44" s="2">
        <v>33</v>
      </c>
      <c r="E44" s="2" t="str">
        <f t="shared" ref="E44" si="1">"星期"&amp;WEEKDAY(A44,2)</f>
        <v>星期3</v>
      </c>
    </row>
    <row r="45" spans="1:5" x14ac:dyDescent="0.3">
      <c r="A45" s="3">
        <v>44544</v>
      </c>
      <c r="B45" s="2" t="s">
        <v>61</v>
      </c>
      <c r="C45" s="2" t="s">
        <v>62</v>
      </c>
      <c r="D45" s="2">
        <v>20</v>
      </c>
      <c r="E45" s="2" t="str">
        <f t="shared" si="0"/>
        <v>星期2</v>
      </c>
    </row>
    <row r="46" spans="1:5" x14ac:dyDescent="0.3">
      <c r="A46" s="3">
        <v>44545</v>
      </c>
      <c r="B46" s="2" t="s">
        <v>61</v>
      </c>
      <c r="C46" s="2" t="s">
        <v>62</v>
      </c>
      <c r="D46" s="2">
        <v>20</v>
      </c>
      <c r="E46" s="2" t="str">
        <f t="shared" si="0"/>
        <v>星期3</v>
      </c>
    </row>
    <row r="47" spans="1:5" x14ac:dyDescent="0.3">
      <c r="A47" s="3">
        <v>44546</v>
      </c>
      <c r="B47" s="2" t="s">
        <v>65</v>
      </c>
      <c r="C47" s="2" t="s">
        <v>66</v>
      </c>
      <c r="D47" s="2">
        <v>70</v>
      </c>
      <c r="E47" s="2" t="str">
        <f t="shared" ref="E47" si="2">"星期"&amp;WEEKDAY(A47,2)</f>
        <v>星期4</v>
      </c>
    </row>
    <row r="48" spans="1:5" x14ac:dyDescent="0.3">
      <c r="A48" s="3">
        <v>44546</v>
      </c>
      <c r="B48" s="2" t="s">
        <v>61</v>
      </c>
      <c r="C48" s="2" t="s">
        <v>62</v>
      </c>
      <c r="D48" s="2">
        <v>20</v>
      </c>
      <c r="E48" s="2" t="str">
        <f t="shared" si="0"/>
        <v>星期4</v>
      </c>
    </row>
    <row r="49" spans="1:5" x14ac:dyDescent="0.3">
      <c r="A49" s="3">
        <v>44547</v>
      </c>
      <c r="B49" s="2" t="s">
        <v>61</v>
      </c>
      <c r="C49" s="2" t="s">
        <v>62</v>
      </c>
      <c r="D49" s="2">
        <v>20</v>
      </c>
      <c r="E49" s="2" t="str">
        <f t="shared" si="0"/>
        <v>星期5</v>
      </c>
    </row>
    <row r="50" spans="1:5" x14ac:dyDescent="0.3">
      <c r="A50" s="3">
        <v>44548</v>
      </c>
      <c r="B50" s="2" t="s">
        <v>61</v>
      </c>
      <c r="C50" s="2" t="s">
        <v>68</v>
      </c>
      <c r="D50" s="2">
        <v>125</v>
      </c>
      <c r="E50" s="2" t="str">
        <f t="shared" si="0"/>
        <v>星期6</v>
      </c>
    </row>
    <row r="51" spans="1:5" x14ac:dyDescent="0.3">
      <c r="A51" s="3">
        <v>44549</v>
      </c>
      <c r="B51" s="2" t="s">
        <v>61</v>
      </c>
      <c r="C51" s="2" t="s">
        <v>68</v>
      </c>
      <c r="D51" s="2">
        <v>180</v>
      </c>
      <c r="E51" s="2" t="str">
        <f t="shared" si="0"/>
        <v>星期7</v>
      </c>
    </row>
    <row r="52" spans="1:5" x14ac:dyDescent="0.3">
      <c r="A52" s="3">
        <v>44550</v>
      </c>
      <c r="B52" s="2" t="s">
        <v>65</v>
      </c>
      <c r="C52" s="2" t="s">
        <v>69</v>
      </c>
      <c r="D52" s="2">
        <v>45</v>
      </c>
      <c r="E52" s="2" t="str">
        <f t="shared" ref="E52" si="3">"星期"&amp;WEEKDAY(A52,2)</f>
        <v>星期1</v>
      </c>
    </row>
    <row r="53" spans="1:5" x14ac:dyDescent="0.3">
      <c r="A53" s="3">
        <v>44550</v>
      </c>
      <c r="B53" s="2" t="s">
        <v>61</v>
      </c>
      <c r="C53" s="2" t="s">
        <v>62</v>
      </c>
      <c r="D53" s="2">
        <v>20</v>
      </c>
      <c r="E53" s="2" t="str">
        <f t="shared" si="0"/>
        <v>星期1</v>
      </c>
    </row>
    <row r="54" spans="1:5" x14ac:dyDescent="0.3">
      <c r="A54" s="3">
        <v>44551</v>
      </c>
      <c r="B54" s="2" t="s">
        <v>65</v>
      </c>
      <c r="C54" s="2" t="s">
        <v>66</v>
      </c>
      <c r="D54" s="2">
        <v>36</v>
      </c>
      <c r="E54" s="2" t="str">
        <f t="shared" si="0"/>
        <v>星期2</v>
      </c>
    </row>
    <row r="55" spans="1:5" x14ac:dyDescent="0.3">
      <c r="A55" s="3">
        <v>44551</v>
      </c>
      <c r="B55" s="2" t="s">
        <v>61</v>
      </c>
      <c r="C55" s="2" t="s">
        <v>62</v>
      </c>
      <c r="D55" s="2">
        <v>20</v>
      </c>
      <c r="E55" s="2" t="str">
        <f t="shared" si="0"/>
        <v>星期2</v>
      </c>
    </row>
    <row r="56" spans="1:5" x14ac:dyDescent="0.3">
      <c r="A56" s="3">
        <v>44552</v>
      </c>
      <c r="B56" s="2" t="s">
        <v>65</v>
      </c>
      <c r="C56" s="2" t="s">
        <v>66</v>
      </c>
      <c r="D56" s="2">
        <f>36+32</f>
        <v>68</v>
      </c>
      <c r="E56" s="2" t="str">
        <f t="shared" si="0"/>
        <v>星期3</v>
      </c>
    </row>
    <row r="57" spans="1:5" x14ac:dyDescent="0.3">
      <c r="A57" s="3">
        <v>44553</v>
      </c>
      <c r="B57" s="2" t="s">
        <v>61</v>
      </c>
      <c r="C57" s="2" t="s">
        <v>62</v>
      </c>
      <c r="D57" s="2">
        <v>20</v>
      </c>
      <c r="E57" s="2" t="str">
        <f t="shared" si="0"/>
        <v>星期4</v>
      </c>
    </row>
    <row r="58" spans="1:5" x14ac:dyDescent="0.3">
      <c r="A58" s="3">
        <v>44554</v>
      </c>
      <c r="B58" s="2" t="s">
        <v>65</v>
      </c>
      <c r="C58" s="2" t="s">
        <v>66</v>
      </c>
      <c r="D58" s="2">
        <v>83</v>
      </c>
      <c r="E58" s="2" t="str">
        <f t="shared" si="0"/>
        <v>星期5</v>
      </c>
    </row>
    <row r="59" spans="1:5" x14ac:dyDescent="0.3">
      <c r="A59" s="3">
        <v>44555</v>
      </c>
      <c r="B59" s="2" t="s">
        <v>61</v>
      </c>
      <c r="C59" s="2" t="s">
        <v>68</v>
      </c>
      <c r="D59" s="2">
        <v>180</v>
      </c>
      <c r="E59" s="2" t="str">
        <f t="shared" si="0"/>
        <v>星期6</v>
      </c>
    </row>
    <row r="60" spans="1:5" x14ac:dyDescent="0.3">
      <c r="A60" s="3">
        <v>44555</v>
      </c>
      <c r="B60" s="2" t="s">
        <v>65</v>
      </c>
      <c r="C60" s="2" t="s">
        <v>66</v>
      </c>
      <c r="D60" s="2">
        <f>126+45</f>
        <v>171</v>
      </c>
      <c r="E60" s="2" t="str">
        <f t="shared" si="0"/>
        <v>星期6</v>
      </c>
    </row>
    <row r="61" spans="1:5" x14ac:dyDescent="0.3">
      <c r="A61" s="3">
        <v>44556</v>
      </c>
      <c r="B61" s="2" t="s">
        <v>65</v>
      </c>
      <c r="C61" s="2" t="s">
        <v>66</v>
      </c>
      <c r="D61" s="2">
        <f>54+67</f>
        <v>121</v>
      </c>
      <c r="E61" s="2" t="str">
        <f t="shared" si="0"/>
        <v>星期7</v>
      </c>
    </row>
  </sheetData>
  <autoFilter ref="A1:E15" xr:uid="{B2F96CBF-1C78-43E4-8204-AE0762094CAE}">
    <sortState ref="A2:E31">
      <sortCondition ref="A1:A15"/>
    </sortState>
  </autoFilter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D256C-12B6-43AA-B470-F12026779A8A}">
  <dimension ref="A1:D43"/>
  <sheetViews>
    <sheetView workbookViewId="0">
      <pane ySplit="1" topLeftCell="A29" activePane="bottomLeft" state="frozen"/>
      <selection pane="bottomLeft" activeCell="G42" sqref="G42"/>
    </sheetView>
  </sheetViews>
  <sheetFormatPr defaultRowHeight="16.5" x14ac:dyDescent="0.3"/>
  <cols>
    <col min="1" max="1" width="11.58203125" style="2" bestFit="1" customWidth="1"/>
    <col min="2" max="2" width="13.6640625" style="10" customWidth="1"/>
    <col min="3" max="3" width="14.4140625" style="2" customWidth="1"/>
    <col min="4" max="4" width="12.75" style="9" customWidth="1"/>
    <col min="5" max="16384" width="8.6640625" style="2"/>
  </cols>
  <sheetData>
    <row r="1" spans="1:4" x14ac:dyDescent="0.3">
      <c r="A1" s="1" t="s">
        <v>0</v>
      </c>
      <c r="B1" s="11" t="s">
        <v>4</v>
      </c>
      <c r="C1" s="1" t="s">
        <v>5</v>
      </c>
      <c r="D1" s="7" t="s">
        <v>6</v>
      </c>
    </row>
    <row r="2" spans="1:4" x14ac:dyDescent="0.3">
      <c r="A2" s="3">
        <v>44515</v>
      </c>
      <c r="B2" s="10">
        <v>1.0138888888888888</v>
      </c>
      <c r="C2" s="6">
        <v>0.31944444444444448</v>
      </c>
      <c r="D2" s="8">
        <f t="shared" ref="D2:D43" si="0">ROUND((IF(B2&lt;1/3,C2-B2,1+C2-B2))*24,1)</f>
        <v>7.3</v>
      </c>
    </row>
    <row r="3" spans="1:4" x14ac:dyDescent="0.3">
      <c r="A3" s="3">
        <v>44516</v>
      </c>
      <c r="B3" s="10">
        <v>1</v>
      </c>
      <c r="C3" s="6">
        <v>0.31944444444444448</v>
      </c>
      <c r="D3" s="8">
        <f t="shared" si="0"/>
        <v>7.7</v>
      </c>
    </row>
    <row r="4" spans="1:4" x14ac:dyDescent="0.3">
      <c r="A4" s="3">
        <v>44517</v>
      </c>
      <c r="B4" s="10">
        <v>0.99861111111111101</v>
      </c>
      <c r="C4" s="6">
        <v>0.31944444444444448</v>
      </c>
      <c r="D4" s="8">
        <f t="shared" si="0"/>
        <v>7.7</v>
      </c>
    </row>
    <row r="5" spans="1:4" x14ac:dyDescent="0.3">
      <c r="A5" s="3">
        <v>44518</v>
      </c>
      <c r="B5" s="10">
        <v>0</v>
      </c>
      <c r="C5" s="6">
        <v>0.31944444444444448</v>
      </c>
      <c r="D5" s="8">
        <f t="shared" si="0"/>
        <v>7.7</v>
      </c>
    </row>
    <row r="6" spans="1:4" x14ac:dyDescent="0.3">
      <c r="A6" s="3">
        <v>44519</v>
      </c>
      <c r="B6" s="10">
        <v>2.7777777777777776E-2</v>
      </c>
      <c r="C6" s="6">
        <v>0.31944444444444448</v>
      </c>
      <c r="D6" s="8">
        <f t="shared" si="0"/>
        <v>7</v>
      </c>
    </row>
    <row r="7" spans="1:4" x14ac:dyDescent="0.3">
      <c r="A7" s="3">
        <v>44520</v>
      </c>
      <c r="B7" s="10">
        <v>1.3888888888888888E-2</v>
      </c>
      <c r="C7" s="6">
        <v>0.37152777777777773</v>
      </c>
      <c r="D7" s="8">
        <f t="shared" si="0"/>
        <v>8.6</v>
      </c>
    </row>
    <row r="8" spans="1:4" x14ac:dyDescent="0.3">
      <c r="A8" s="3">
        <v>44521</v>
      </c>
      <c r="B8" s="10">
        <v>1.3888888888888888E-2</v>
      </c>
      <c r="C8" s="6">
        <v>0.37152777777777773</v>
      </c>
      <c r="D8" s="8">
        <f t="shared" si="0"/>
        <v>8.6</v>
      </c>
    </row>
    <row r="9" spans="1:4" x14ac:dyDescent="0.3">
      <c r="A9" s="3">
        <v>44522</v>
      </c>
      <c r="B9" s="10">
        <v>1.3888888888888888E-2</v>
      </c>
      <c r="C9" s="6">
        <v>0.31944444444444448</v>
      </c>
      <c r="D9" s="9">
        <f t="shared" si="0"/>
        <v>7.3</v>
      </c>
    </row>
    <row r="10" spans="1:4" x14ac:dyDescent="0.3">
      <c r="A10" s="3">
        <v>44523</v>
      </c>
      <c r="B10" s="10">
        <v>0.98611111111111116</v>
      </c>
      <c r="C10" s="6">
        <v>0.31944444444444448</v>
      </c>
      <c r="D10" s="9">
        <f t="shared" si="0"/>
        <v>8</v>
      </c>
    </row>
    <row r="11" spans="1:4" x14ac:dyDescent="0.3">
      <c r="A11" s="3">
        <v>44524</v>
      </c>
      <c r="B11" s="10">
        <v>3.472222222222222E-3</v>
      </c>
      <c r="C11" s="6">
        <v>0.31944444444444398</v>
      </c>
      <c r="D11" s="9">
        <f t="shared" si="0"/>
        <v>7.6</v>
      </c>
    </row>
    <row r="12" spans="1:4" x14ac:dyDescent="0.3">
      <c r="A12" s="3">
        <v>44525</v>
      </c>
      <c r="B12" s="10">
        <v>0.98472222222222217</v>
      </c>
      <c r="C12" s="6">
        <v>0.31944444444444398</v>
      </c>
      <c r="D12" s="9">
        <f t="shared" si="0"/>
        <v>8</v>
      </c>
    </row>
    <row r="13" spans="1:4" x14ac:dyDescent="0.3">
      <c r="A13" s="3">
        <v>44526</v>
      </c>
      <c r="B13" s="10">
        <v>0.98611111111111116</v>
      </c>
      <c r="C13" s="6">
        <v>0.31944444444444398</v>
      </c>
      <c r="D13" s="9">
        <f t="shared" si="0"/>
        <v>8</v>
      </c>
    </row>
    <row r="14" spans="1:4" x14ac:dyDescent="0.3">
      <c r="A14" s="3">
        <v>44527</v>
      </c>
      <c r="B14" s="10">
        <v>1.0368055555555555</v>
      </c>
      <c r="C14" s="6">
        <v>0.34861111111111115</v>
      </c>
      <c r="D14" s="9">
        <f t="shared" si="0"/>
        <v>7.5</v>
      </c>
    </row>
    <row r="15" spans="1:4" x14ac:dyDescent="0.3">
      <c r="A15" s="3">
        <v>44528</v>
      </c>
      <c r="B15" s="10">
        <v>1.0111111111111111</v>
      </c>
      <c r="C15" s="6">
        <v>0.375</v>
      </c>
      <c r="D15" s="9">
        <f t="shared" si="0"/>
        <v>8.6999999999999993</v>
      </c>
    </row>
    <row r="16" spans="1:4" x14ac:dyDescent="0.3">
      <c r="A16" s="3">
        <v>44529</v>
      </c>
      <c r="B16" s="10">
        <v>1.2499999999999999E-2</v>
      </c>
      <c r="C16" s="6">
        <v>0.31944444444444448</v>
      </c>
      <c r="D16" s="9">
        <f t="shared" si="0"/>
        <v>7.4</v>
      </c>
    </row>
    <row r="17" spans="1:4" x14ac:dyDescent="0.3">
      <c r="A17" s="3">
        <v>44530</v>
      </c>
      <c r="B17" s="10">
        <v>0.99305555555555547</v>
      </c>
      <c r="C17" s="6">
        <v>0.31944444444444448</v>
      </c>
      <c r="D17" s="9">
        <f t="shared" si="0"/>
        <v>7.8</v>
      </c>
    </row>
    <row r="18" spans="1:4" x14ac:dyDescent="0.3">
      <c r="A18" s="3">
        <v>44531</v>
      </c>
      <c r="B18" s="10">
        <v>1.3888888888888888E-2</v>
      </c>
      <c r="C18" s="6">
        <v>0.31944444444444448</v>
      </c>
      <c r="D18" s="9">
        <f t="shared" si="0"/>
        <v>7.3</v>
      </c>
    </row>
    <row r="19" spans="1:4" x14ac:dyDescent="0.3">
      <c r="A19" s="3">
        <v>44532</v>
      </c>
      <c r="B19" s="10">
        <v>0.99861111111111101</v>
      </c>
      <c r="C19" s="6">
        <v>0.31944444444444448</v>
      </c>
      <c r="D19" s="9">
        <f t="shared" si="0"/>
        <v>7.7</v>
      </c>
    </row>
    <row r="20" spans="1:4" x14ac:dyDescent="0.3">
      <c r="A20" s="3">
        <v>44533</v>
      </c>
      <c r="B20" s="10">
        <v>9.7222222222222224E-3</v>
      </c>
      <c r="C20" s="6">
        <v>0.31944444444444448</v>
      </c>
      <c r="D20" s="9">
        <f t="shared" si="0"/>
        <v>7.4</v>
      </c>
    </row>
    <row r="21" spans="1:4" x14ac:dyDescent="0.3">
      <c r="A21" s="3">
        <v>44534</v>
      </c>
      <c r="B21" s="10">
        <v>1.5972222222222224E-2</v>
      </c>
      <c r="C21" s="6">
        <v>0.375</v>
      </c>
      <c r="D21" s="9">
        <f t="shared" si="0"/>
        <v>8.6</v>
      </c>
    </row>
    <row r="22" spans="1:4" x14ac:dyDescent="0.3">
      <c r="A22" s="3">
        <v>44535</v>
      </c>
      <c r="B22" s="10">
        <v>1.3888888888888888E-2</v>
      </c>
      <c r="C22" s="6">
        <v>0.39583333333333331</v>
      </c>
      <c r="D22" s="9">
        <f t="shared" si="0"/>
        <v>9.1999999999999993</v>
      </c>
    </row>
    <row r="23" spans="1:4" x14ac:dyDescent="0.3">
      <c r="A23" s="3">
        <v>44536</v>
      </c>
      <c r="B23" s="10">
        <v>0.98611111111111116</v>
      </c>
      <c r="C23" s="6">
        <v>0.31944444444444448</v>
      </c>
      <c r="D23" s="9">
        <f t="shared" si="0"/>
        <v>8</v>
      </c>
    </row>
    <row r="24" spans="1:4" x14ac:dyDescent="0.3">
      <c r="A24" s="3">
        <v>44537</v>
      </c>
      <c r="B24" s="10">
        <v>0.99513888888888891</v>
      </c>
      <c r="C24" s="6">
        <v>0.31944444444444448</v>
      </c>
      <c r="D24" s="9">
        <f t="shared" si="0"/>
        <v>7.8</v>
      </c>
    </row>
    <row r="25" spans="1:4" x14ac:dyDescent="0.3">
      <c r="A25" s="3">
        <v>44538</v>
      </c>
      <c r="B25" s="10">
        <v>1.7361111111111112E-2</v>
      </c>
      <c r="C25" s="6">
        <v>0.31944444444444398</v>
      </c>
      <c r="D25" s="9">
        <f t="shared" si="0"/>
        <v>7.2</v>
      </c>
    </row>
    <row r="26" spans="1:4" x14ac:dyDescent="0.3">
      <c r="A26" s="3">
        <v>44539</v>
      </c>
      <c r="B26" s="10">
        <v>0.99305555555555547</v>
      </c>
      <c r="C26" s="6">
        <v>0.31944444444444398</v>
      </c>
      <c r="D26" s="9">
        <f t="shared" si="0"/>
        <v>7.8</v>
      </c>
    </row>
    <row r="27" spans="1:4" x14ac:dyDescent="0.3">
      <c r="A27" s="3">
        <v>44540</v>
      </c>
      <c r="B27" s="10">
        <v>0</v>
      </c>
      <c r="C27" s="6">
        <v>0.31944444444444398</v>
      </c>
      <c r="D27" s="9">
        <f t="shared" si="0"/>
        <v>7.7</v>
      </c>
    </row>
    <row r="28" spans="1:4" x14ac:dyDescent="0.3">
      <c r="A28" s="3">
        <v>44541</v>
      </c>
      <c r="B28" s="10">
        <v>0</v>
      </c>
      <c r="C28" s="6">
        <v>0.375</v>
      </c>
      <c r="D28" s="9">
        <f t="shared" si="0"/>
        <v>9</v>
      </c>
    </row>
    <row r="29" spans="1:4" x14ac:dyDescent="0.3">
      <c r="A29" s="3">
        <v>44542</v>
      </c>
      <c r="B29" s="10">
        <v>0.10625</v>
      </c>
      <c r="C29" s="6">
        <v>0.5</v>
      </c>
      <c r="D29" s="9">
        <f t="shared" si="0"/>
        <v>9.5</v>
      </c>
    </row>
    <row r="30" spans="1:4" x14ac:dyDescent="0.3">
      <c r="A30" s="3">
        <v>44543</v>
      </c>
      <c r="B30" s="10">
        <v>0</v>
      </c>
      <c r="C30" s="6">
        <v>0.31944444444444448</v>
      </c>
      <c r="D30" s="9">
        <f t="shared" si="0"/>
        <v>7.7</v>
      </c>
    </row>
    <row r="31" spans="1:4" x14ac:dyDescent="0.3">
      <c r="A31" s="3">
        <v>44544</v>
      </c>
      <c r="B31" s="10">
        <v>0.98958333333333337</v>
      </c>
      <c r="C31" s="6">
        <v>0.31944444444444448</v>
      </c>
      <c r="D31" s="9">
        <f t="shared" si="0"/>
        <v>7.9</v>
      </c>
    </row>
    <row r="32" spans="1:4" x14ac:dyDescent="0.3">
      <c r="A32" s="3">
        <v>44545</v>
      </c>
      <c r="B32" s="10">
        <v>0.99305555555555547</v>
      </c>
      <c r="C32" s="6">
        <v>0.31944444444444398</v>
      </c>
      <c r="D32" s="9">
        <f t="shared" si="0"/>
        <v>7.8</v>
      </c>
    </row>
    <row r="33" spans="1:4" x14ac:dyDescent="0.3">
      <c r="A33" s="3">
        <v>44546</v>
      </c>
      <c r="B33" s="10">
        <v>0.98958333333333337</v>
      </c>
      <c r="C33" s="6">
        <v>0.31944444444444398</v>
      </c>
      <c r="D33" s="9">
        <f t="shared" si="0"/>
        <v>7.9</v>
      </c>
    </row>
    <row r="34" spans="1:4" x14ac:dyDescent="0.3">
      <c r="A34" s="3">
        <v>44547</v>
      </c>
      <c r="B34" s="10">
        <v>0</v>
      </c>
      <c r="C34" s="6">
        <v>0.31944444444444398</v>
      </c>
      <c r="D34" s="9">
        <f t="shared" si="0"/>
        <v>7.7</v>
      </c>
    </row>
    <row r="35" spans="1:4" x14ac:dyDescent="0.3">
      <c r="A35" s="3">
        <v>44548</v>
      </c>
      <c r="B35" s="10">
        <v>0.10416666666666667</v>
      </c>
      <c r="C35" s="6">
        <v>0.5</v>
      </c>
      <c r="D35" s="9">
        <f t="shared" si="0"/>
        <v>9.5</v>
      </c>
    </row>
    <row r="36" spans="1:4" x14ac:dyDescent="0.3">
      <c r="A36" s="3">
        <v>44549</v>
      </c>
      <c r="B36" s="10">
        <v>2.0833333333333332E-2</v>
      </c>
      <c r="C36" s="6">
        <v>0.375</v>
      </c>
      <c r="D36" s="9">
        <f t="shared" si="0"/>
        <v>8.5</v>
      </c>
    </row>
    <row r="37" spans="1:4" x14ac:dyDescent="0.3">
      <c r="A37" s="3">
        <v>44550</v>
      </c>
      <c r="B37" s="10">
        <v>2.0833333333333332E-2</v>
      </c>
      <c r="C37" s="6">
        <v>0.31944444444444448</v>
      </c>
      <c r="D37" s="9">
        <f t="shared" si="0"/>
        <v>7.2</v>
      </c>
    </row>
    <row r="38" spans="1:4" x14ac:dyDescent="0.3">
      <c r="A38" s="3">
        <v>44551</v>
      </c>
      <c r="B38" s="10">
        <v>0</v>
      </c>
      <c r="C38" s="6">
        <v>0.31944444444444448</v>
      </c>
      <c r="D38" s="9">
        <f t="shared" si="0"/>
        <v>7.7</v>
      </c>
    </row>
    <row r="39" spans="1:4" x14ac:dyDescent="0.3">
      <c r="A39" s="3">
        <v>44552</v>
      </c>
      <c r="B39" s="10">
        <v>0</v>
      </c>
      <c r="C39" s="6">
        <v>0.31944444444444398</v>
      </c>
      <c r="D39" s="9">
        <f t="shared" si="0"/>
        <v>7.7</v>
      </c>
    </row>
    <row r="40" spans="1:4" x14ac:dyDescent="0.3">
      <c r="A40" s="3">
        <v>44553</v>
      </c>
      <c r="B40" s="10">
        <v>0.98611111111111116</v>
      </c>
      <c r="C40" s="6">
        <v>0.31944444444444398</v>
      </c>
      <c r="D40" s="9">
        <f t="shared" si="0"/>
        <v>8</v>
      </c>
    </row>
    <row r="41" spans="1:4" x14ac:dyDescent="0.3">
      <c r="A41" s="3">
        <v>44554</v>
      </c>
      <c r="B41" s="10">
        <v>0.97916666666666663</v>
      </c>
      <c r="C41" s="6">
        <v>0.31944444444444398</v>
      </c>
      <c r="D41" s="9">
        <f t="shared" si="0"/>
        <v>8.1999999999999993</v>
      </c>
    </row>
    <row r="42" spans="1:4" x14ac:dyDescent="0.3">
      <c r="A42" s="3">
        <v>44555</v>
      </c>
      <c r="B42" s="10">
        <v>0.99305555555555547</v>
      </c>
      <c r="C42" s="6">
        <v>0.37152777777777773</v>
      </c>
      <c r="D42" s="9">
        <f t="shared" si="0"/>
        <v>9.1</v>
      </c>
    </row>
    <row r="43" spans="1:4" x14ac:dyDescent="0.3">
      <c r="A43" s="3">
        <v>44556</v>
      </c>
      <c r="B43" s="10">
        <v>0</v>
      </c>
      <c r="C43" s="6">
        <v>0.40486111111111112</v>
      </c>
      <c r="D43" s="9">
        <f t="shared" si="0"/>
        <v>9.6999999999999993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786313-A851-4939-AACB-91B993931A93}">
  <dimension ref="A1:B8"/>
  <sheetViews>
    <sheetView workbookViewId="0">
      <selection activeCell="H9" sqref="H9"/>
    </sheetView>
  </sheetViews>
  <sheetFormatPr defaultRowHeight="16.5" x14ac:dyDescent="0.3"/>
  <cols>
    <col min="1" max="16384" width="8.6640625" style="2"/>
  </cols>
  <sheetData>
    <row r="1" spans="1:2" x14ac:dyDescent="0.3">
      <c r="A1" s="4" t="s">
        <v>12</v>
      </c>
      <c r="B1" s="4" t="s">
        <v>47</v>
      </c>
    </row>
    <row r="2" spans="1:2" x14ac:dyDescent="0.3">
      <c r="A2" s="5" t="s">
        <v>7</v>
      </c>
      <c r="B2" s="5">
        <v>1.2</v>
      </c>
    </row>
    <row r="3" spans="1:2" x14ac:dyDescent="0.3">
      <c r="A3" s="5" t="s">
        <v>8</v>
      </c>
      <c r="B3" s="5">
        <v>1.1000000000000001</v>
      </c>
    </row>
    <row r="4" spans="1:2" x14ac:dyDescent="0.3">
      <c r="A4" s="5" t="s">
        <v>9</v>
      </c>
      <c r="B4" s="5">
        <v>1</v>
      </c>
    </row>
    <row r="5" spans="1:2" x14ac:dyDescent="0.3">
      <c r="A5" s="5" t="s">
        <v>10</v>
      </c>
      <c r="B5" s="5">
        <v>0.8</v>
      </c>
    </row>
    <row r="6" spans="1:2" x14ac:dyDescent="0.3">
      <c r="A6" s="5" t="s">
        <v>11</v>
      </c>
      <c r="B6" s="5">
        <v>1</v>
      </c>
    </row>
    <row r="7" spans="1:2" x14ac:dyDescent="0.3">
      <c r="A7" s="5" t="s">
        <v>13</v>
      </c>
      <c r="B7" s="5">
        <v>1</v>
      </c>
    </row>
    <row r="8" spans="1:2" x14ac:dyDescent="0.3">
      <c r="A8" s="5" t="s">
        <v>14</v>
      </c>
      <c r="B8" s="5">
        <v>1.2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B5E8E5-0798-4078-9282-EC3A63BD4DAD}">
  <dimension ref="A1:D21"/>
  <sheetViews>
    <sheetView workbookViewId="0">
      <selection activeCell="F21" sqref="F21"/>
    </sheetView>
  </sheetViews>
  <sheetFormatPr defaultRowHeight="14" x14ac:dyDescent="0.3"/>
  <cols>
    <col min="1" max="1" width="9.5" style="14" bestFit="1" customWidth="1"/>
    <col min="2" max="3" width="8.6640625" style="14"/>
    <col min="4" max="4" width="16.25" style="14" customWidth="1"/>
    <col min="5" max="16384" width="8.6640625" style="14"/>
  </cols>
  <sheetData>
    <row r="1" spans="1:4" ht="16.5" x14ac:dyDescent="0.3">
      <c r="A1" s="1" t="s">
        <v>0</v>
      </c>
      <c r="B1" s="1" t="s">
        <v>30</v>
      </c>
      <c r="C1" s="1" t="s">
        <v>31</v>
      </c>
      <c r="D1" s="1" t="s">
        <v>2</v>
      </c>
    </row>
    <row r="2" spans="1:4" x14ac:dyDescent="0.3">
      <c r="A2" s="15">
        <v>44534</v>
      </c>
      <c r="B2" s="16">
        <v>0.375</v>
      </c>
      <c r="C2" s="16">
        <v>0.40069444444444446</v>
      </c>
      <c r="D2" s="14" t="s">
        <v>32</v>
      </c>
    </row>
    <row r="3" spans="1:4" x14ac:dyDescent="0.3">
      <c r="A3" s="15">
        <v>44534</v>
      </c>
      <c r="B3" s="16">
        <v>0.40069444444444446</v>
      </c>
      <c r="C3" s="16">
        <v>0.42291666666666666</v>
      </c>
      <c r="D3" s="14" t="s">
        <v>33</v>
      </c>
    </row>
    <row r="4" spans="1:4" x14ac:dyDescent="0.3">
      <c r="A4" s="15">
        <v>44534</v>
      </c>
      <c r="B4" s="16">
        <v>0.42291666666666666</v>
      </c>
      <c r="C4" s="16">
        <v>0.4680555555555555</v>
      </c>
      <c r="D4" s="14" t="s">
        <v>34</v>
      </c>
    </row>
    <row r="5" spans="1:4" x14ac:dyDescent="0.3">
      <c r="A5" s="15">
        <v>44534</v>
      </c>
      <c r="B5" s="16">
        <v>0.4680555555555555</v>
      </c>
      <c r="C5" s="16">
        <v>0.47500000000000003</v>
      </c>
      <c r="D5" s="14" t="s">
        <v>35</v>
      </c>
    </row>
    <row r="6" spans="1:4" x14ac:dyDescent="0.3">
      <c r="A6" s="15">
        <v>44534</v>
      </c>
      <c r="B6" s="16">
        <v>0.47500000000000003</v>
      </c>
      <c r="C6" s="16">
        <v>0.5</v>
      </c>
      <c r="D6" s="14" t="s">
        <v>15</v>
      </c>
    </row>
    <row r="7" spans="1:4" x14ac:dyDescent="0.3">
      <c r="A7" s="15">
        <v>44534</v>
      </c>
      <c r="B7" s="16">
        <v>0.5</v>
      </c>
      <c r="C7" s="16">
        <v>0.52222222222222225</v>
      </c>
      <c r="D7" s="14" t="s">
        <v>36</v>
      </c>
    </row>
    <row r="8" spans="1:4" x14ac:dyDescent="0.3">
      <c r="A8" s="15">
        <v>44534</v>
      </c>
      <c r="B8" s="16">
        <v>0.52777777777777779</v>
      </c>
      <c r="C8" s="16">
        <v>0.58333333333333337</v>
      </c>
      <c r="D8" s="14" t="s">
        <v>37</v>
      </c>
    </row>
    <row r="9" spans="1:4" x14ac:dyDescent="0.3">
      <c r="A9" s="15">
        <v>44534</v>
      </c>
      <c r="B9" s="16">
        <v>0.58333333333333337</v>
      </c>
      <c r="C9" s="16">
        <v>0.59375</v>
      </c>
      <c r="D9" s="14" t="s">
        <v>38</v>
      </c>
    </row>
    <row r="10" spans="1:4" x14ac:dyDescent="0.3">
      <c r="A10" s="15">
        <v>44534</v>
      </c>
      <c r="B10" s="16">
        <v>0.59375</v>
      </c>
      <c r="C10" s="16">
        <v>0.62291666666666667</v>
      </c>
      <c r="D10" s="14" t="s">
        <v>15</v>
      </c>
    </row>
    <row r="11" spans="1:4" x14ac:dyDescent="0.3">
      <c r="A11" s="15">
        <v>44534</v>
      </c>
      <c r="B11" s="16">
        <v>0.62291666666666667</v>
      </c>
      <c r="C11" s="16">
        <v>0.63750000000000007</v>
      </c>
      <c r="D11" s="14" t="s">
        <v>39</v>
      </c>
    </row>
    <row r="12" spans="1:4" x14ac:dyDescent="0.3">
      <c r="A12" s="15">
        <v>44534</v>
      </c>
      <c r="B12" s="16">
        <v>0.63888888888888895</v>
      </c>
      <c r="C12" s="16">
        <v>0.67222222222222217</v>
      </c>
      <c r="D12" s="14" t="s">
        <v>40</v>
      </c>
    </row>
    <row r="13" spans="1:4" x14ac:dyDescent="0.3">
      <c r="A13" s="15">
        <v>44534</v>
      </c>
      <c r="B13" s="16">
        <v>0.68333333333333324</v>
      </c>
      <c r="C13" s="16">
        <v>0.69305555555555554</v>
      </c>
      <c r="D13" s="14" t="s">
        <v>41</v>
      </c>
    </row>
    <row r="14" spans="1:4" x14ac:dyDescent="0.3">
      <c r="A14" s="15">
        <v>44534</v>
      </c>
      <c r="B14" s="16">
        <v>0.69305555555555554</v>
      </c>
      <c r="C14" s="16">
        <v>0.72222222222222221</v>
      </c>
      <c r="D14" s="14" t="s">
        <v>42</v>
      </c>
    </row>
    <row r="15" spans="1:4" x14ac:dyDescent="0.3">
      <c r="A15" s="15">
        <v>44534</v>
      </c>
      <c r="B15" s="16">
        <v>0.72222222222222221</v>
      </c>
      <c r="C15" s="16">
        <v>0.7416666666666667</v>
      </c>
      <c r="D15" s="14" t="s">
        <v>43</v>
      </c>
    </row>
    <row r="16" spans="1:4" x14ac:dyDescent="0.3">
      <c r="A16" s="15">
        <v>44534</v>
      </c>
      <c r="B16" s="16">
        <v>0.7416666666666667</v>
      </c>
      <c r="C16" s="16">
        <v>0.75416666666666676</v>
      </c>
      <c r="D16" s="14" t="s">
        <v>44</v>
      </c>
    </row>
    <row r="17" spans="1:4" x14ac:dyDescent="0.3">
      <c r="A17" s="15">
        <v>44534</v>
      </c>
      <c r="B17" s="16">
        <v>0.74305555555555547</v>
      </c>
      <c r="C17" s="16">
        <v>0.78749999999999998</v>
      </c>
      <c r="D17" s="14" t="s">
        <v>42</v>
      </c>
    </row>
    <row r="18" spans="1:4" x14ac:dyDescent="0.3">
      <c r="A18" s="15">
        <v>44534</v>
      </c>
      <c r="B18" s="16">
        <v>0.78749999999999998</v>
      </c>
      <c r="C18" s="16">
        <v>0.8027777777777777</v>
      </c>
      <c r="D18" s="14" t="s">
        <v>8</v>
      </c>
    </row>
    <row r="19" spans="1:4" x14ac:dyDescent="0.3">
      <c r="A19" s="15">
        <v>44534</v>
      </c>
      <c r="B19" s="16">
        <v>0.81527777777777777</v>
      </c>
      <c r="C19" s="16">
        <v>0.82777777777777783</v>
      </c>
      <c r="D19" s="14" t="s">
        <v>45</v>
      </c>
    </row>
    <row r="20" spans="1:4" x14ac:dyDescent="0.3">
      <c r="A20" s="15">
        <v>44534</v>
      </c>
      <c r="B20" s="16">
        <v>0.82777777777777783</v>
      </c>
      <c r="C20" s="16">
        <v>0.92708333333333337</v>
      </c>
      <c r="D20" s="14" t="s">
        <v>46</v>
      </c>
    </row>
    <row r="21" spans="1:4" x14ac:dyDescent="0.3">
      <c r="A21" s="15">
        <v>44534</v>
      </c>
      <c r="B21" s="16">
        <v>0.93541666666666667</v>
      </c>
      <c r="C21" s="16">
        <v>0.96805555555555556</v>
      </c>
      <c r="D21" s="14" t="s">
        <v>24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数据透视表</vt:lpstr>
      <vt:lpstr>活动源数据</vt:lpstr>
      <vt:lpstr>睡眠源数据</vt:lpstr>
      <vt:lpstr>活动参数</vt:lpstr>
      <vt:lpstr>单日明细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2021-12-26T15:21:29Z</dcterms:modified>
</cp:coreProperties>
</file>