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filterPrivacy="1"/>
  <xr:revisionPtr revIDLastSave="0" documentId="13_ncr:1_{C9795003-31CB-4126-9BF9-776B88731BF6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数据透视表" sheetId="5" r:id="rId1"/>
    <sheet name="活动源数据" sheetId="1" r:id="rId2"/>
    <sheet name="睡眠源数据" sheetId="3" r:id="rId3"/>
    <sheet name="活动参数" sheetId="2" r:id="rId4"/>
    <sheet name="单日明细" sheetId="4" r:id="rId5"/>
  </sheets>
  <definedNames>
    <definedName name="_xlnm._FilterDatabase" localSheetId="1" hidden="1">活动源数据!$A$1:$E$15</definedName>
    <definedName name="切片器_日期">#N/A</definedName>
  </definedNames>
  <calcPr calcId="191029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3" l="1"/>
  <c r="D18" i="3"/>
  <c r="D19" i="3"/>
  <c r="D20" i="3"/>
  <c r="D21" i="3"/>
  <c r="D22" i="3"/>
  <c r="D23" i="3"/>
  <c r="D16" i="3"/>
  <c r="E23" i="1"/>
  <c r="E20" i="1"/>
  <c r="E19" i="1"/>
  <c r="E18" i="1"/>
  <c r="E22" i="1"/>
  <c r="E25" i="1"/>
  <c r="E27" i="1"/>
  <c r="E30" i="1"/>
  <c r="E17" i="1"/>
  <c r="E28" i="1"/>
  <c r="E21" i="1"/>
  <c r="E24" i="1"/>
  <c r="E26" i="1"/>
  <c r="E29" i="1"/>
  <c r="E31" i="1"/>
  <c r="E16" i="1"/>
  <c r="D11" i="3" l="1"/>
  <c r="D12" i="3"/>
  <c r="D13" i="3"/>
  <c r="D14" i="3"/>
  <c r="D15" i="3"/>
  <c r="D10" i="3"/>
  <c r="D9" i="3"/>
  <c r="E15" i="1"/>
  <c r="E14" i="1"/>
  <c r="E13" i="1"/>
  <c r="E12" i="1"/>
  <c r="E11" i="1"/>
  <c r="E10" i="1"/>
  <c r="E3" i="1"/>
  <c r="E4" i="1"/>
  <c r="E5" i="1"/>
  <c r="E6" i="1"/>
  <c r="E7" i="1"/>
  <c r="E8" i="1"/>
  <c r="E9" i="1"/>
  <c r="E2" i="1"/>
  <c r="D4" i="3" l="1"/>
  <c r="D2" i="3"/>
  <c r="D3" i="3"/>
  <c r="D5" i="3"/>
  <c r="D6" i="3"/>
  <c r="D7" i="3"/>
  <c r="D8" i="3"/>
</calcChain>
</file>

<file path=xl/sharedStrings.xml><?xml version="1.0" encoding="utf-8"?>
<sst xmlns="http://schemas.openxmlformats.org/spreadsheetml/2006/main" count="119" uniqueCount="65">
  <si>
    <t>日期</t>
    <phoneticPr fontId="1" type="noConversion"/>
  </si>
  <si>
    <t>子类</t>
    <phoneticPr fontId="1" type="noConversion"/>
  </si>
  <si>
    <t>活动</t>
    <phoneticPr fontId="1" type="noConversion"/>
  </si>
  <si>
    <t>支出时间</t>
    <phoneticPr fontId="1" type="noConversion"/>
  </si>
  <si>
    <t>入睡时间</t>
    <phoneticPr fontId="1" type="noConversion"/>
  </si>
  <si>
    <t>起床时间</t>
    <phoneticPr fontId="1" type="noConversion"/>
  </si>
  <si>
    <t>睡眠时长</t>
    <phoneticPr fontId="1" type="noConversion"/>
  </si>
  <si>
    <t>器械</t>
    <phoneticPr fontId="1" type="noConversion"/>
  </si>
  <si>
    <t>自重</t>
    <phoneticPr fontId="1" type="noConversion"/>
  </si>
  <si>
    <t>跑步</t>
    <phoneticPr fontId="1" type="noConversion"/>
  </si>
  <si>
    <t>徒步</t>
    <phoneticPr fontId="1" type="noConversion"/>
  </si>
  <si>
    <t>登山</t>
    <phoneticPr fontId="1" type="noConversion"/>
  </si>
  <si>
    <t>运动</t>
    <phoneticPr fontId="1" type="noConversion"/>
  </si>
  <si>
    <t>游泳</t>
    <phoneticPr fontId="1" type="noConversion"/>
  </si>
  <si>
    <t>羽毛球</t>
    <phoneticPr fontId="1" type="noConversion"/>
  </si>
  <si>
    <t>阅读</t>
    <phoneticPr fontId="1" type="noConversion"/>
  </si>
  <si>
    <t>《如果在冬夜，一个旅人》</t>
    <phoneticPr fontId="1" type="noConversion"/>
  </si>
  <si>
    <t>运动</t>
    <phoneticPr fontId="1" type="noConversion"/>
  </si>
  <si>
    <t>自重</t>
    <phoneticPr fontId="1" type="noConversion"/>
  </si>
  <si>
    <t>器械</t>
    <phoneticPr fontId="1" type="noConversion"/>
  </si>
  <si>
    <t>跑步</t>
    <phoneticPr fontId="1" type="noConversion"/>
  </si>
  <si>
    <t>星期</t>
    <phoneticPr fontId="1" type="noConversion"/>
  </si>
  <si>
    <t>徒步</t>
    <phoneticPr fontId="1" type="noConversion"/>
  </si>
  <si>
    <t>登山</t>
    <phoneticPr fontId="1" type="noConversion"/>
  </si>
  <si>
    <t>《新闻周刊》</t>
    <phoneticPr fontId="1" type="noConversion"/>
  </si>
  <si>
    <t>阅读</t>
    <phoneticPr fontId="1" type="noConversion"/>
  </si>
  <si>
    <t>运动</t>
    <phoneticPr fontId="1" type="noConversion"/>
  </si>
  <si>
    <t>自重</t>
    <phoneticPr fontId="1" type="noConversion"/>
  </si>
  <si>
    <t>器械</t>
    <phoneticPr fontId="1" type="noConversion"/>
  </si>
  <si>
    <t>跑步</t>
    <phoneticPr fontId="1" type="noConversion"/>
  </si>
  <si>
    <t>开始时间</t>
    <phoneticPr fontId="1" type="noConversion"/>
  </si>
  <si>
    <t>结束时间</t>
    <phoneticPr fontId="1" type="noConversion"/>
  </si>
  <si>
    <t>起床发呆</t>
    <phoneticPr fontId="1" type="noConversion"/>
  </si>
  <si>
    <t>早饭</t>
    <phoneticPr fontId="1" type="noConversion"/>
  </si>
  <si>
    <t>收拾屋子</t>
    <phoneticPr fontId="1" type="noConversion"/>
  </si>
  <si>
    <t>点外卖</t>
    <phoneticPr fontId="1" type="noConversion"/>
  </si>
  <si>
    <t>午饭</t>
    <phoneticPr fontId="1" type="noConversion"/>
  </si>
  <si>
    <t>午休</t>
    <phoneticPr fontId="1" type="noConversion"/>
  </si>
  <si>
    <t>挑选加湿器</t>
    <phoneticPr fontId="1" type="noConversion"/>
  </si>
  <si>
    <t>上厕所</t>
    <phoneticPr fontId="1" type="noConversion"/>
  </si>
  <si>
    <t>打电话</t>
    <phoneticPr fontId="1" type="noConversion"/>
  </si>
  <si>
    <t>拖地</t>
    <phoneticPr fontId="1" type="noConversion"/>
  </si>
  <si>
    <t>bilibili</t>
    <phoneticPr fontId="1" type="noConversion"/>
  </si>
  <si>
    <t>拟大纲</t>
    <phoneticPr fontId="1" type="noConversion"/>
  </si>
  <si>
    <t>晚饭</t>
    <phoneticPr fontId="1" type="noConversion"/>
  </si>
  <si>
    <t>洗澡</t>
    <phoneticPr fontId="1" type="noConversion"/>
  </si>
  <si>
    <t>写作</t>
    <phoneticPr fontId="1" type="noConversion"/>
  </si>
  <si>
    <t>权值</t>
    <phoneticPr fontId="1" type="noConversion"/>
  </si>
  <si>
    <t>求和项:支出时间</t>
  </si>
  <si>
    <t>列标签</t>
  </si>
  <si>
    <t>行标签</t>
  </si>
  <si>
    <t>阅读</t>
  </si>
  <si>
    <t>运动</t>
  </si>
  <si>
    <t>总计</t>
  </si>
  <si>
    <t>星期1</t>
  </si>
  <si>
    <t>星期2</t>
  </si>
  <si>
    <t>星期3</t>
  </si>
  <si>
    <t>星期4</t>
  </si>
  <si>
    <t>星期5</t>
  </si>
  <si>
    <t>星期6</t>
  </si>
  <si>
    <t>星期7</t>
  </si>
  <si>
    <t>求和</t>
  </si>
  <si>
    <t>平均值</t>
    <phoneticPr fontId="1" type="noConversion"/>
  </si>
  <si>
    <t>汇总</t>
    <phoneticPr fontId="1" type="noConversion"/>
  </si>
  <si>
    <t>计数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</si>
</sst>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h:mm;@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3F3F3F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4" fillId="3" borderId="3" xfId="0" applyFont="1" applyFill="1" applyBorder="1"/>
  </cellXfs>
  <cellStyles count="1">
    <cellStyle name="常规" xfId="0" builtinId="0"/>
  </cellStyles>
  <dxfs count="27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等线"/>
        <charset val="134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317500</xdr:colOff>
      <xdr:row>1</xdr:row>
      <xdr:rowOff>177799</xdr:rowOff>
    </xdr:from>
    <xdr:to>
      <xdr:col>6</xdr:col>
      <xdr:colOff>539750</xdr:colOff>
      <xdr:row>12</xdr:row>
      <xdr:rowOff>6350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日期">
              <a:extLst>
                <a:ext uri="{FF2B5EF4-FFF2-40B4-BE49-F238E27FC236}">
                  <a16:creationId xmlns:a16="http://schemas.microsoft.com/office/drawing/2014/main" id="{7E6A206F-5075-4BEB-B2A1-E148BE0137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日期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4900" y="355599"/>
              <a:ext cx="1911350" cy="17843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4536.936841666669" createdVersion="6" refreshedVersion="6" minRefreshableVersion="3" recordCount="30" xr:uid="{2FFE9293-B929-4E59-A183-E01A0B104689}">
  <cacheSource type="worksheet">
    <worksheetSource ref="A1:E31" sheet="活动源数据"/>
  </cacheSource>
  <cacheFields count="5">
    <cacheField name="日期" numFmtId="14">
      <sharedItems containsSemiMixedTypes="0" containsNonDate="0" containsDate="1" containsString="0" minDate="2021-11-22T00:00:00" maxDate="2021-12-06T00:00:00" count="13">
        <d v="2021-11-22T00:00:00"/>
        <d v="2021-11-23T00:00:00"/>
        <d v="2021-11-24T00:00:00"/>
        <d v="2021-11-25T00:00:00"/>
        <d v="2021-11-26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</sharedItems>
      <fieldGroup base="0">
        <rangePr groupBy="days" startDate="2021-11-22T00:00:00" endDate="2021-12-06T00:00:00" groupInterval="7"/>
        <groupItems count="4">
          <s v="&lt;2021/11/22"/>
          <s v="2021/11/22 - 2021/11/28"/>
          <s v="2021/11/29 - 2021/12/5"/>
          <s v="&gt;2021/12/6"/>
        </groupItems>
      </fieldGroup>
    </cacheField>
    <cacheField name="活动" numFmtId="0">
      <sharedItems count="2">
        <s v="阅读"/>
        <s v="运动"/>
      </sharedItems>
    </cacheField>
    <cacheField name="子类" numFmtId="0">
      <sharedItems count="7">
        <s v="《如果在冬夜，一个旅人》"/>
        <s v="自重"/>
        <s v="器械"/>
        <s v="跑步"/>
        <s v="徒步"/>
        <s v="登山"/>
        <s v="《新闻周刊》"/>
      </sharedItems>
    </cacheField>
    <cacheField name="支出时间" numFmtId="0">
      <sharedItems containsSemiMixedTypes="0" containsString="0" containsNumber="1" containsInteger="1" minValue="10" maxValue="200"/>
    </cacheField>
    <cacheField name="星期" numFmtId="0">
      <sharedItems count="7">
        <s v="星期1"/>
        <s v="星期2"/>
        <s v="星期3"/>
        <s v="星期4"/>
        <s v="星期5"/>
        <s v="星期7"/>
        <s v="星期6"/>
      </sharedItems>
    </cacheField>
  </cacheFields>
  <extLst>
    <ext xmlns:x14="http://schemas.microsoft.com/office/spreadsheetml/2009/9/main" uri="{725AE2AE-9491-48be-B2B4-4EB974FC3084}">
      <x14:pivotCacheDefinition pivotCacheId="19139748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n v="52"/>
    <x v="0"/>
  </r>
  <r>
    <x v="0"/>
    <x v="1"/>
    <x v="1"/>
    <n v="20"/>
    <x v="0"/>
  </r>
  <r>
    <x v="1"/>
    <x v="0"/>
    <x v="0"/>
    <n v="70"/>
    <x v="1"/>
  </r>
  <r>
    <x v="1"/>
    <x v="1"/>
    <x v="1"/>
    <n v="20"/>
    <x v="1"/>
  </r>
  <r>
    <x v="2"/>
    <x v="1"/>
    <x v="1"/>
    <n v="20"/>
    <x v="2"/>
  </r>
  <r>
    <x v="2"/>
    <x v="1"/>
    <x v="2"/>
    <n v="40"/>
    <x v="2"/>
  </r>
  <r>
    <x v="2"/>
    <x v="1"/>
    <x v="3"/>
    <n v="80"/>
    <x v="2"/>
  </r>
  <r>
    <x v="3"/>
    <x v="1"/>
    <x v="1"/>
    <n v="10"/>
    <x v="3"/>
  </r>
  <r>
    <x v="4"/>
    <x v="1"/>
    <x v="1"/>
    <n v="20"/>
    <x v="4"/>
  </r>
  <r>
    <x v="4"/>
    <x v="1"/>
    <x v="2"/>
    <n v="60"/>
    <x v="4"/>
  </r>
  <r>
    <x v="4"/>
    <x v="1"/>
    <x v="4"/>
    <n v="200"/>
    <x v="4"/>
  </r>
  <r>
    <x v="5"/>
    <x v="1"/>
    <x v="5"/>
    <n v="181"/>
    <x v="5"/>
  </r>
  <r>
    <x v="5"/>
    <x v="0"/>
    <x v="0"/>
    <n v="40"/>
    <x v="5"/>
  </r>
  <r>
    <x v="5"/>
    <x v="0"/>
    <x v="6"/>
    <n v="45"/>
    <x v="5"/>
  </r>
  <r>
    <x v="6"/>
    <x v="0"/>
    <x v="0"/>
    <n v="48"/>
    <x v="0"/>
  </r>
  <r>
    <x v="6"/>
    <x v="1"/>
    <x v="1"/>
    <n v="20"/>
    <x v="0"/>
  </r>
  <r>
    <x v="7"/>
    <x v="1"/>
    <x v="1"/>
    <n v="20"/>
    <x v="1"/>
  </r>
  <r>
    <x v="7"/>
    <x v="1"/>
    <x v="2"/>
    <n v="18"/>
    <x v="1"/>
  </r>
  <r>
    <x v="7"/>
    <x v="1"/>
    <x v="3"/>
    <n v="47"/>
    <x v="1"/>
  </r>
  <r>
    <x v="8"/>
    <x v="0"/>
    <x v="0"/>
    <n v="38"/>
    <x v="2"/>
  </r>
  <r>
    <x v="8"/>
    <x v="1"/>
    <x v="1"/>
    <n v="20"/>
    <x v="2"/>
  </r>
  <r>
    <x v="8"/>
    <x v="1"/>
    <x v="2"/>
    <n v="60"/>
    <x v="2"/>
  </r>
  <r>
    <x v="9"/>
    <x v="0"/>
    <x v="0"/>
    <n v="23"/>
    <x v="3"/>
  </r>
  <r>
    <x v="9"/>
    <x v="1"/>
    <x v="1"/>
    <n v="20"/>
    <x v="3"/>
  </r>
  <r>
    <x v="10"/>
    <x v="0"/>
    <x v="0"/>
    <n v="45"/>
    <x v="4"/>
  </r>
  <r>
    <x v="10"/>
    <x v="1"/>
    <x v="1"/>
    <n v="20"/>
    <x v="4"/>
  </r>
  <r>
    <x v="11"/>
    <x v="0"/>
    <x v="6"/>
    <n v="45"/>
    <x v="6"/>
  </r>
  <r>
    <x v="11"/>
    <x v="0"/>
    <x v="0"/>
    <n v="78"/>
    <x v="6"/>
  </r>
  <r>
    <x v="11"/>
    <x v="1"/>
    <x v="1"/>
    <n v="20"/>
    <x v="6"/>
  </r>
  <r>
    <x v="12"/>
    <x v="0"/>
    <x v="0"/>
    <n v="3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9A775-D870-47F3-8B3A-EE00A26BE7F5}" name="数据透视表2" cacheId="20" applyNumberFormats="0" applyBorderFormats="0" applyFontFormats="0" applyPatternFormats="0" applyAlignmentFormats="0" applyWidthHeightFormats="1" dataCaption="值" missingCaption="0" updatedVersion="6" minRefreshableVersion="3" colGrandTotals="0" itemPrintTitles="1" createdVersion="6" indent="0" outline="1" outlineData="1" multipleFieldFilters="0">
  <location ref="A3:C12" firstHeaderRow="1" firstDataRow="2" firstDataCol="1"/>
  <pivotFields count="5">
    <pivotField numFmtId="14" outline="0" showAll="0">
      <items count="5">
        <item h="1" x="0"/>
        <item h="1" x="1"/>
        <item x="2"/>
        <item h="1" x="3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8">
        <item x="0"/>
        <item x="6"/>
        <item x="5"/>
        <item x="3"/>
        <item x="2"/>
        <item x="4"/>
        <item x="1"/>
        <item t="default"/>
      </items>
    </pivotField>
    <pivotField dataField="1" showAll="0"/>
    <pivotField axis="axisRow">
      <items count="8">
        <item x="0"/>
        <item x="1"/>
        <item x="2"/>
        <item x="3"/>
        <item x="4"/>
        <item x="6"/>
        <item x="5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>
      <x v="1"/>
    </i>
  </colItems>
  <dataFields count="1">
    <dataField name="求和项:支出时间" fld="3" baseField="0" baseItem="0"/>
  </dataFields>
  <formats count="15">
    <format dxfId="240">
      <pivotArea outline="0" collapsedLevelsAreSubtotals="1" fieldPosition="0"/>
    </format>
    <format dxfId="241">
      <pivotArea field="4" type="button" dataOnly="0" labelOnly="1" outline="0" axis="axisRow" fieldPosition="0"/>
    </format>
    <format dxfId="242">
      <pivotArea dataOnly="0" labelOnly="1" fieldPosition="0">
        <references count="1">
          <reference field="4" count="0"/>
        </references>
      </pivotArea>
    </format>
    <format dxfId="243">
      <pivotArea dataOnly="0" labelOnly="1" grandRow="1" outline="0" fieldPosition="0"/>
    </format>
    <format dxfId="244">
      <pivotArea dataOnly="0" labelOnly="1" fieldPosition="0">
        <references count="1">
          <reference field="1" count="0"/>
        </references>
      </pivotArea>
    </format>
    <format dxfId="245">
      <pivotArea dataOnly="0" labelOnly="1" grandCol="1" outline="0" fieldPosition="0"/>
    </format>
    <format dxfId="246">
      <pivotArea outline="0" collapsedLevelsAreSubtotals="1" fieldPosition="0"/>
    </format>
    <format dxfId="247">
      <pivotArea field="4" type="button" dataOnly="0" labelOnly="1" outline="0" axis="axisRow" fieldPosition="0"/>
    </format>
    <format dxfId="248">
      <pivotArea dataOnly="0" labelOnly="1" fieldPosition="0">
        <references count="1">
          <reference field="4" count="0"/>
        </references>
      </pivotArea>
    </format>
    <format dxfId="249">
      <pivotArea dataOnly="0" labelOnly="1" grandRow="1" outline="0" fieldPosition="0"/>
    </format>
    <format dxfId="250">
      <pivotArea dataOnly="0" labelOnly="1" fieldPosition="0">
        <references count="1">
          <reference field="1" count="0"/>
        </references>
      </pivotArea>
    </format>
    <format dxfId="251">
      <pivotArea dataOnly="0" labelOnly="1" grandCol="1" outline="0" fieldPosition="0"/>
    </format>
    <format dxfId="252">
      <pivotArea type="origin" dataOnly="0" labelOnly="1" outline="0" fieldPosition="0"/>
    </format>
    <format dxfId="253">
      <pivotArea field="1" type="button" dataOnly="0" labelOnly="1" outline="0" axis="axisCol" fieldPosition="0"/>
    </format>
    <format dxfId="254">
      <pivotArea type="topRight" dataOnly="0" labelOnly="1" outline="0" fieldPosition="0"/>
    </format>
  </formats>
  <pivotTableStyleInfo name="PivotStyleLight2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日期" xr10:uid="{482A7231-D621-4122-8F5F-90780E797DB8}" sourceName="日期">
  <pivotTables>
    <pivotTable tabId="5" name="数据透视表2"/>
  </pivotTables>
  <data>
    <tabular pivotCacheId="1913974820">
      <items count="4">
        <i x="1"/>
        <i x="2" s="1"/>
        <i x="0" nd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日期" xr10:uid="{04C181F0-421A-434F-BDF2-8FD507308A34}" cache="切片器_日期" caption="日期" rowHeight="2095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BEF9-2F2C-45A0-BAA2-E781A0D060C2}">
  <dimension ref="A3:C12"/>
  <sheetViews>
    <sheetView tabSelected="1" workbookViewId="0">
      <selection activeCell="H15" sqref="H15"/>
    </sheetView>
  </sheetViews>
  <sheetFormatPr defaultRowHeight="14" x14ac:dyDescent="0.3"/>
  <cols>
    <col min="1" max="1" width="14.75" bestFit="1" customWidth="1"/>
    <col min="2" max="2" width="14.33203125" customWidth="1"/>
    <col min="3" max="3" width="14.58203125" customWidth="1"/>
    <col min="4" max="4" width="4.83203125" customWidth="1"/>
  </cols>
  <sheetData>
    <row r="3" spans="1:3" x14ac:dyDescent="0.3">
      <c r="A3" s="20" t="s">
        <v>48</v>
      </c>
      <c r="B3" s="20" t="s">
        <v>49</v>
      </c>
      <c r="C3" s="20"/>
    </row>
    <row r="4" spans="1:3" x14ac:dyDescent="0.3">
      <c r="A4" s="17" t="s">
        <v>50</v>
      </c>
      <c r="B4" s="18" t="s">
        <v>51</v>
      </c>
      <c r="C4" s="18" t="s">
        <v>52</v>
      </c>
    </row>
    <row r="5" spans="1:3" x14ac:dyDescent="0.3">
      <c r="A5" s="18" t="s">
        <v>54</v>
      </c>
      <c r="B5" s="19">
        <v>48</v>
      </c>
      <c r="C5" s="19">
        <v>20</v>
      </c>
    </row>
    <row r="6" spans="1:3" x14ac:dyDescent="0.3">
      <c r="A6" s="18" t="s">
        <v>55</v>
      </c>
      <c r="B6" s="19">
        <v>0</v>
      </c>
      <c r="C6" s="19">
        <v>85</v>
      </c>
    </row>
    <row r="7" spans="1:3" x14ac:dyDescent="0.3">
      <c r="A7" s="18" t="s">
        <v>56</v>
      </c>
      <c r="B7" s="19">
        <v>38</v>
      </c>
      <c r="C7" s="19">
        <v>80</v>
      </c>
    </row>
    <row r="8" spans="1:3" x14ac:dyDescent="0.3">
      <c r="A8" s="18" t="s">
        <v>57</v>
      </c>
      <c r="B8" s="19">
        <v>23</v>
      </c>
      <c r="C8" s="19">
        <v>20</v>
      </c>
    </row>
    <row r="9" spans="1:3" x14ac:dyDescent="0.3">
      <c r="A9" s="18" t="s">
        <v>58</v>
      </c>
      <c r="B9" s="19">
        <v>45</v>
      </c>
      <c r="C9" s="19">
        <v>20</v>
      </c>
    </row>
    <row r="10" spans="1:3" x14ac:dyDescent="0.3">
      <c r="A10" s="18" t="s">
        <v>59</v>
      </c>
      <c r="B10" s="19">
        <v>123</v>
      </c>
      <c r="C10" s="19">
        <v>20</v>
      </c>
    </row>
    <row r="11" spans="1:3" x14ac:dyDescent="0.3">
      <c r="A11" s="18" t="s">
        <v>60</v>
      </c>
      <c r="B11" s="19">
        <v>30</v>
      </c>
      <c r="C11" s="19">
        <v>0</v>
      </c>
    </row>
    <row r="12" spans="1:3" x14ac:dyDescent="0.3">
      <c r="A12" s="18" t="s">
        <v>53</v>
      </c>
      <c r="B12" s="19">
        <v>307</v>
      </c>
      <c r="C12" s="19">
        <v>245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opLeftCell="A4" workbookViewId="0">
      <selection activeCell="I24" sqref="I24:I25"/>
    </sheetView>
  </sheetViews>
  <sheetFormatPr defaultRowHeight="16.5" x14ac:dyDescent="0.3"/>
  <cols>
    <col min="1" max="1" width="12.08203125" style="2" customWidth="1"/>
    <col min="2" max="2" width="14.4140625" style="2" customWidth="1"/>
    <col min="3" max="3" width="15.4140625" style="2" customWidth="1"/>
    <col min="4" max="4" width="15.83203125" style="2" customWidth="1"/>
    <col min="5" max="5" width="9" style="2" bestFit="1" customWidth="1"/>
    <col min="6" max="16384" width="8.6640625" style="2"/>
  </cols>
  <sheetData>
    <row r="1" spans="1:5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21</v>
      </c>
    </row>
    <row r="2" spans="1:5" x14ac:dyDescent="0.3">
      <c r="A2" s="3">
        <v>44522</v>
      </c>
      <c r="B2" s="2" t="s">
        <v>15</v>
      </c>
      <c r="C2" s="12" t="s">
        <v>16</v>
      </c>
      <c r="D2" s="2">
        <v>52</v>
      </c>
      <c r="E2" s="2" t="str">
        <f t="shared" ref="E2:E31" si="0">"星期"&amp;WEEKDAY(A2,2)</f>
        <v>星期1</v>
      </c>
    </row>
    <row r="3" spans="1:5" x14ac:dyDescent="0.3">
      <c r="A3" s="3">
        <v>44522</v>
      </c>
      <c r="B3" s="2" t="s">
        <v>17</v>
      </c>
      <c r="C3" s="2" t="s">
        <v>18</v>
      </c>
      <c r="D3" s="2">
        <v>20</v>
      </c>
      <c r="E3" s="2" t="str">
        <f t="shared" si="0"/>
        <v>星期1</v>
      </c>
    </row>
    <row r="4" spans="1:5" x14ac:dyDescent="0.3">
      <c r="A4" s="3">
        <v>44523</v>
      </c>
      <c r="B4" s="2" t="s">
        <v>15</v>
      </c>
      <c r="C4" s="12" t="s">
        <v>16</v>
      </c>
      <c r="D4" s="2">
        <v>70</v>
      </c>
      <c r="E4" s="2" t="str">
        <f t="shared" si="0"/>
        <v>星期2</v>
      </c>
    </row>
    <row r="5" spans="1:5" x14ac:dyDescent="0.3">
      <c r="A5" s="3">
        <v>44523</v>
      </c>
      <c r="B5" s="2" t="s">
        <v>17</v>
      </c>
      <c r="C5" s="2" t="s">
        <v>18</v>
      </c>
      <c r="D5" s="2">
        <v>20</v>
      </c>
      <c r="E5" s="2" t="str">
        <f t="shared" si="0"/>
        <v>星期2</v>
      </c>
    </row>
    <row r="6" spans="1:5" x14ac:dyDescent="0.3">
      <c r="A6" s="3">
        <v>44524</v>
      </c>
      <c r="B6" s="2" t="s">
        <v>17</v>
      </c>
      <c r="C6" s="2" t="s">
        <v>18</v>
      </c>
      <c r="D6" s="2">
        <v>20</v>
      </c>
      <c r="E6" s="2" t="str">
        <f t="shared" si="0"/>
        <v>星期3</v>
      </c>
    </row>
    <row r="7" spans="1:5" x14ac:dyDescent="0.3">
      <c r="A7" s="3">
        <v>44524</v>
      </c>
      <c r="B7" s="2" t="s">
        <v>17</v>
      </c>
      <c r="C7" s="2" t="s">
        <v>19</v>
      </c>
      <c r="D7" s="2">
        <v>40</v>
      </c>
      <c r="E7" s="2" t="str">
        <f t="shared" si="0"/>
        <v>星期3</v>
      </c>
    </row>
    <row r="8" spans="1:5" x14ac:dyDescent="0.3">
      <c r="A8" s="3">
        <v>44524</v>
      </c>
      <c r="B8" s="2" t="s">
        <v>17</v>
      </c>
      <c r="C8" s="2" t="s">
        <v>20</v>
      </c>
      <c r="D8" s="2">
        <v>80</v>
      </c>
      <c r="E8" s="2" t="str">
        <f t="shared" si="0"/>
        <v>星期3</v>
      </c>
    </row>
    <row r="9" spans="1:5" x14ac:dyDescent="0.3">
      <c r="A9" s="3">
        <v>44525</v>
      </c>
      <c r="B9" s="2" t="s">
        <v>17</v>
      </c>
      <c r="C9" s="2" t="s">
        <v>18</v>
      </c>
      <c r="D9" s="2">
        <v>10</v>
      </c>
      <c r="E9" s="2" t="str">
        <f t="shared" si="0"/>
        <v>星期4</v>
      </c>
    </row>
    <row r="10" spans="1:5" x14ac:dyDescent="0.3">
      <c r="A10" s="3">
        <v>44526</v>
      </c>
      <c r="B10" s="2" t="s">
        <v>17</v>
      </c>
      <c r="C10" s="2" t="s">
        <v>18</v>
      </c>
      <c r="D10" s="2">
        <v>20</v>
      </c>
      <c r="E10" s="2" t="str">
        <f t="shared" si="0"/>
        <v>星期5</v>
      </c>
    </row>
    <row r="11" spans="1:5" x14ac:dyDescent="0.3">
      <c r="A11" s="3">
        <v>44526</v>
      </c>
      <c r="B11" s="2" t="s">
        <v>17</v>
      </c>
      <c r="C11" s="2" t="s">
        <v>19</v>
      </c>
      <c r="D11" s="2">
        <v>60</v>
      </c>
      <c r="E11" s="2" t="str">
        <f t="shared" si="0"/>
        <v>星期5</v>
      </c>
    </row>
    <row r="12" spans="1:5" x14ac:dyDescent="0.3">
      <c r="A12" s="3">
        <v>44526</v>
      </c>
      <c r="B12" s="2" t="s">
        <v>17</v>
      </c>
      <c r="C12" s="13" t="s">
        <v>22</v>
      </c>
      <c r="D12" s="13">
        <v>200</v>
      </c>
      <c r="E12" s="2" t="str">
        <f t="shared" si="0"/>
        <v>星期5</v>
      </c>
    </row>
    <row r="13" spans="1:5" x14ac:dyDescent="0.3">
      <c r="A13" s="3">
        <v>44528</v>
      </c>
      <c r="B13" s="2" t="s">
        <v>17</v>
      </c>
      <c r="C13" s="2" t="s">
        <v>23</v>
      </c>
      <c r="D13" s="2">
        <v>181</v>
      </c>
      <c r="E13" s="2" t="str">
        <f t="shared" si="0"/>
        <v>星期7</v>
      </c>
    </row>
    <row r="14" spans="1:5" x14ac:dyDescent="0.3">
      <c r="A14" s="3">
        <v>44528</v>
      </c>
      <c r="B14" s="2" t="s">
        <v>15</v>
      </c>
      <c r="C14" s="12" t="s">
        <v>16</v>
      </c>
      <c r="D14" s="2">
        <v>40</v>
      </c>
      <c r="E14" s="2" t="str">
        <f t="shared" si="0"/>
        <v>星期7</v>
      </c>
    </row>
    <row r="15" spans="1:5" x14ac:dyDescent="0.3">
      <c r="A15" s="3">
        <v>44528</v>
      </c>
      <c r="B15" s="2" t="s">
        <v>15</v>
      </c>
      <c r="C15" s="12" t="s">
        <v>24</v>
      </c>
      <c r="D15" s="2">
        <v>45</v>
      </c>
      <c r="E15" s="2" t="str">
        <f t="shared" si="0"/>
        <v>星期7</v>
      </c>
    </row>
    <row r="16" spans="1:5" x14ac:dyDescent="0.3">
      <c r="A16" s="3">
        <v>44529</v>
      </c>
      <c r="B16" s="2" t="s">
        <v>25</v>
      </c>
      <c r="C16" s="12" t="s">
        <v>16</v>
      </c>
      <c r="D16" s="2">
        <v>48</v>
      </c>
      <c r="E16" s="2" t="str">
        <f t="shared" si="0"/>
        <v>星期1</v>
      </c>
    </row>
    <row r="17" spans="1:5" x14ac:dyDescent="0.3">
      <c r="A17" s="3">
        <v>44529</v>
      </c>
      <c r="B17" s="2" t="s">
        <v>26</v>
      </c>
      <c r="C17" s="12" t="s">
        <v>27</v>
      </c>
      <c r="D17" s="2">
        <v>20</v>
      </c>
      <c r="E17" s="2" t="str">
        <f t="shared" si="0"/>
        <v>星期1</v>
      </c>
    </row>
    <row r="18" spans="1:5" x14ac:dyDescent="0.3">
      <c r="A18" s="3">
        <v>44530</v>
      </c>
      <c r="B18" s="2" t="s">
        <v>26</v>
      </c>
      <c r="C18" s="12" t="s">
        <v>27</v>
      </c>
      <c r="D18" s="2">
        <v>20</v>
      </c>
      <c r="E18" s="2" t="str">
        <f t="shared" si="0"/>
        <v>星期2</v>
      </c>
    </row>
    <row r="19" spans="1:5" x14ac:dyDescent="0.3">
      <c r="A19" s="3">
        <v>44530</v>
      </c>
      <c r="B19" s="2" t="s">
        <v>26</v>
      </c>
      <c r="C19" s="12" t="s">
        <v>28</v>
      </c>
      <c r="D19" s="2">
        <v>18</v>
      </c>
      <c r="E19" s="2" t="str">
        <f t="shared" si="0"/>
        <v>星期2</v>
      </c>
    </row>
    <row r="20" spans="1:5" x14ac:dyDescent="0.3">
      <c r="A20" s="3">
        <v>44530</v>
      </c>
      <c r="B20" s="2" t="s">
        <v>26</v>
      </c>
      <c r="C20" s="12" t="s">
        <v>29</v>
      </c>
      <c r="D20" s="2">
        <v>47</v>
      </c>
      <c r="E20" s="2" t="str">
        <f t="shared" si="0"/>
        <v>星期2</v>
      </c>
    </row>
    <row r="21" spans="1:5" x14ac:dyDescent="0.3">
      <c r="A21" s="3">
        <v>44531</v>
      </c>
      <c r="B21" s="2" t="s">
        <v>25</v>
      </c>
      <c r="C21" s="12" t="s">
        <v>16</v>
      </c>
      <c r="D21" s="2">
        <v>38</v>
      </c>
      <c r="E21" s="2" t="str">
        <f t="shared" si="0"/>
        <v>星期3</v>
      </c>
    </row>
    <row r="22" spans="1:5" x14ac:dyDescent="0.3">
      <c r="A22" s="3">
        <v>44531</v>
      </c>
      <c r="B22" s="2" t="s">
        <v>26</v>
      </c>
      <c r="C22" s="12" t="s">
        <v>27</v>
      </c>
      <c r="D22" s="2">
        <v>20</v>
      </c>
      <c r="E22" s="2" t="str">
        <f t="shared" si="0"/>
        <v>星期3</v>
      </c>
    </row>
    <row r="23" spans="1:5" x14ac:dyDescent="0.3">
      <c r="A23" s="3">
        <v>44531</v>
      </c>
      <c r="B23" s="2" t="s">
        <v>26</v>
      </c>
      <c r="C23" s="12" t="s">
        <v>28</v>
      </c>
      <c r="D23" s="2">
        <v>60</v>
      </c>
      <c r="E23" s="2" t="str">
        <f t="shared" si="0"/>
        <v>星期3</v>
      </c>
    </row>
    <row r="24" spans="1:5" x14ac:dyDescent="0.3">
      <c r="A24" s="3">
        <v>44532</v>
      </c>
      <c r="B24" s="2" t="s">
        <v>25</v>
      </c>
      <c r="C24" s="12" t="s">
        <v>16</v>
      </c>
      <c r="D24" s="2">
        <v>23</v>
      </c>
      <c r="E24" s="2" t="str">
        <f t="shared" si="0"/>
        <v>星期4</v>
      </c>
    </row>
    <row r="25" spans="1:5" x14ac:dyDescent="0.3">
      <c r="A25" s="3">
        <v>44532</v>
      </c>
      <c r="B25" s="2" t="s">
        <v>26</v>
      </c>
      <c r="C25" s="12" t="s">
        <v>27</v>
      </c>
      <c r="D25" s="2">
        <v>20</v>
      </c>
      <c r="E25" s="2" t="str">
        <f t="shared" si="0"/>
        <v>星期4</v>
      </c>
    </row>
    <row r="26" spans="1:5" x14ac:dyDescent="0.3">
      <c r="A26" s="3">
        <v>44533</v>
      </c>
      <c r="B26" s="2" t="s">
        <v>25</v>
      </c>
      <c r="C26" s="12" t="s">
        <v>16</v>
      </c>
      <c r="D26" s="2">
        <v>45</v>
      </c>
      <c r="E26" s="2" t="str">
        <f t="shared" si="0"/>
        <v>星期5</v>
      </c>
    </row>
    <row r="27" spans="1:5" x14ac:dyDescent="0.3">
      <c r="A27" s="3">
        <v>44533</v>
      </c>
      <c r="B27" s="2" t="s">
        <v>26</v>
      </c>
      <c r="C27" s="12" t="s">
        <v>27</v>
      </c>
      <c r="D27" s="2">
        <v>20</v>
      </c>
      <c r="E27" s="2" t="str">
        <f t="shared" si="0"/>
        <v>星期5</v>
      </c>
    </row>
    <row r="28" spans="1:5" x14ac:dyDescent="0.3">
      <c r="A28" s="3">
        <v>44534</v>
      </c>
      <c r="B28" s="2" t="s">
        <v>25</v>
      </c>
      <c r="C28" s="12" t="s">
        <v>24</v>
      </c>
      <c r="D28" s="2">
        <v>45</v>
      </c>
      <c r="E28" s="2" t="str">
        <f t="shared" si="0"/>
        <v>星期6</v>
      </c>
    </row>
    <row r="29" spans="1:5" x14ac:dyDescent="0.3">
      <c r="A29" s="3">
        <v>44534</v>
      </c>
      <c r="B29" s="2" t="s">
        <v>25</v>
      </c>
      <c r="C29" s="12" t="s">
        <v>16</v>
      </c>
      <c r="D29" s="2">
        <v>78</v>
      </c>
      <c r="E29" s="2" t="str">
        <f t="shared" si="0"/>
        <v>星期6</v>
      </c>
    </row>
    <row r="30" spans="1:5" x14ac:dyDescent="0.3">
      <c r="A30" s="3">
        <v>44534</v>
      </c>
      <c r="B30" s="2" t="s">
        <v>26</v>
      </c>
      <c r="C30" s="12" t="s">
        <v>27</v>
      </c>
      <c r="D30" s="2">
        <v>20</v>
      </c>
      <c r="E30" s="2" t="str">
        <f t="shared" si="0"/>
        <v>星期6</v>
      </c>
    </row>
    <row r="31" spans="1:5" x14ac:dyDescent="0.3">
      <c r="A31" s="3">
        <v>44535</v>
      </c>
      <c r="B31" s="2" t="s">
        <v>25</v>
      </c>
      <c r="C31" s="12" t="s">
        <v>16</v>
      </c>
      <c r="D31" s="2">
        <v>30</v>
      </c>
      <c r="E31" s="2" t="str">
        <f t="shared" si="0"/>
        <v>星期7</v>
      </c>
    </row>
  </sheetData>
  <autoFilter ref="A1:E15" xr:uid="{B2F96CBF-1C78-43E4-8204-AE0762094CAE}">
    <sortState ref="A2:E31">
      <sortCondition ref="A1:A15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256C-12B6-43AA-B470-F12026779A8A}">
  <dimension ref="A1:D23"/>
  <sheetViews>
    <sheetView workbookViewId="0">
      <pane ySplit="1" topLeftCell="A11" activePane="bottomLeft" state="frozen"/>
      <selection pane="bottomLeft" activeCell="F20" sqref="F20"/>
    </sheetView>
  </sheetViews>
  <sheetFormatPr defaultRowHeight="16.5" x14ac:dyDescent="0.3"/>
  <cols>
    <col min="1" max="1" width="11.58203125" style="2" bestFit="1" customWidth="1"/>
    <col min="2" max="2" width="13.6640625" style="10" customWidth="1"/>
    <col min="3" max="3" width="14.4140625" style="2" customWidth="1"/>
    <col min="4" max="4" width="12.75" style="9" customWidth="1"/>
    <col min="5" max="16384" width="8.6640625" style="2"/>
  </cols>
  <sheetData>
    <row r="1" spans="1:4" x14ac:dyDescent="0.3">
      <c r="A1" s="1" t="s">
        <v>0</v>
      </c>
      <c r="B1" s="11" t="s">
        <v>4</v>
      </c>
      <c r="C1" s="1" t="s">
        <v>5</v>
      </c>
      <c r="D1" s="7" t="s">
        <v>6</v>
      </c>
    </row>
    <row r="2" spans="1:4" x14ac:dyDescent="0.3">
      <c r="A2" s="3">
        <v>44515</v>
      </c>
      <c r="B2" s="10">
        <v>1.0138888888888888</v>
      </c>
      <c r="C2" s="6">
        <v>0.31944444444444448</v>
      </c>
      <c r="D2" s="8">
        <f t="shared" ref="D2:D23" si="0">ROUND((IF(B2&lt;1/3,C2-B2,1+C2-B2))*24,1)</f>
        <v>7.3</v>
      </c>
    </row>
    <row r="3" spans="1:4" x14ac:dyDescent="0.3">
      <c r="A3" s="3">
        <v>44516</v>
      </c>
      <c r="B3" s="10">
        <v>1</v>
      </c>
      <c r="C3" s="6">
        <v>0.31944444444444448</v>
      </c>
      <c r="D3" s="8">
        <f t="shared" si="0"/>
        <v>7.7</v>
      </c>
    </row>
    <row r="4" spans="1:4" x14ac:dyDescent="0.3">
      <c r="A4" s="3">
        <v>44517</v>
      </c>
      <c r="B4" s="10">
        <v>0.99861111111111101</v>
      </c>
      <c r="C4" s="6">
        <v>0.31944444444444448</v>
      </c>
      <c r="D4" s="8">
        <f t="shared" si="0"/>
        <v>7.7</v>
      </c>
    </row>
    <row r="5" spans="1:4" x14ac:dyDescent="0.3">
      <c r="A5" s="3">
        <v>44518</v>
      </c>
      <c r="B5" s="10">
        <v>0</v>
      </c>
      <c r="C5" s="6">
        <v>0.31944444444444448</v>
      </c>
      <c r="D5" s="8">
        <f t="shared" si="0"/>
        <v>7.7</v>
      </c>
    </row>
    <row r="6" spans="1:4" x14ac:dyDescent="0.3">
      <c r="A6" s="3">
        <v>44519</v>
      </c>
      <c r="B6" s="10">
        <v>2.7777777777777776E-2</v>
      </c>
      <c r="C6" s="6">
        <v>0.31944444444444448</v>
      </c>
      <c r="D6" s="8">
        <f t="shared" si="0"/>
        <v>7</v>
      </c>
    </row>
    <row r="7" spans="1:4" x14ac:dyDescent="0.3">
      <c r="A7" s="3">
        <v>44520</v>
      </c>
      <c r="B7" s="10">
        <v>1.3888888888888888E-2</v>
      </c>
      <c r="C7" s="6">
        <v>0.37152777777777773</v>
      </c>
      <c r="D7" s="8">
        <f t="shared" si="0"/>
        <v>8.6</v>
      </c>
    </row>
    <row r="8" spans="1:4" x14ac:dyDescent="0.3">
      <c r="A8" s="3">
        <v>44521</v>
      </c>
      <c r="B8" s="10">
        <v>1.3888888888888888E-2</v>
      </c>
      <c r="C8" s="6">
        <v>0.37152777777777773</v>
      </c>
      <c r="D8" s="8">
        <f t="shared" si="0"/>
        <v>8.6</v>
      </c>
    </row>
    <row r="9" spans="1:4" x14ac:dyDescent="0.3">
      <c r="A9" s="3">
        <v>44522</v>
      </c>
      <c r="B9" s="10">
        <v>1.3888888888888888E-2</v>
      </c>
      <c r="C9" s="6">
        <v>0.31944444444444448</v>
      </c>
      <c r="D9" s="9">
        <f t="shared" si="0"/>
        <v>7.3</v>
      </c>
    </row>
    <row r="10" spans="1:4" x14ac:dyDescent="0.3">
      <c r="A10" s="3">
        <v>44523</v>
      </c>
      <c r="B10" s="10">
        <v>0.98611111111111116</v>
      </c>
      <c r="C10" s="6">
        <v>0.31944444444444448</v>
      </c>
      <c r="D10" s="9">
        <f t="shared" si="0"/>
        <v>8</v>
      </c>
    </row>
    <row r="11" spans="1:4" x14ac:dyDescent="0.3">
      <c r="A11" s="3">
        <v>44524</v>
      </c>
      <c r="B11" s="10">
        <v>3.472222222222222E-3</v>
      </c>
      <c r="C11" s="6">
        <v>0.31944444444444398</v>
      </c>
      <c r="D11" s="9">
        <f t="shared" si="0"/>
        <v>7.6</v>
      </c>
    </row>
    <row r="12" spans="1:4" x14ac:dyDescent="0.3">
      <c r="A12" s="3">
        <v>44525</v>
      </c>
      <c r="B12" s="10">
        <v>0.98472222222222217</v>
      </c>
      <c r="C12" s="6">
        <v>0.31944444444444398</v>
      </c>
      <c r="D12" s="9">
        <f t="shared" si="0"/>
        <v>8</v>
      </c>
    </row>
    <row r="13" spans="1:4" x14ac:dyDescent="0.3">
      <c r="A13" s="3">
        <v>44526</v>
      </c>
      <c r="B13" s="10">
        <v>0.98611111111111116</v>
      </c>
      <c r="C13" s="6">
        <v>0.31944444444444398</v>
      </c>
      <c r="D13" s="9">
        <f t="shared" si="0"/>
        <v>8</v>
      </c>
    </row>
    <row r="14" spans="1:4" x14ac:dyDescent="0.3">
      <c r="A14" s="3">
        <v>44527</v>
      </c>
      <c r="B14" s="10">
        <v>1.0368055555555555</v>
      </c>
      <c r="C14" s="6">
        <v>0.34861111111111115</v>
      </c>
      <c r="D14" s="9">
        <f t="shared" si="0"/>
        <v>7.5</v>
      </c>
    </row>
    <row r="15" spans="1:4" x14ac:dyDescent="0.3">
      <c r="A15" s="3">
        <v>44528</v>
      </c>
      <c r="B15" s="10">
        <v>1.0111111111111111</v>
      </c>
      <c r="C15" s="6">
        <v>0.375</v>
      </c>
      <c r="D15" s="9">
        <f t="shared" si="0"/>
        <v>8.6999999999999993</v>
      </c>
    </row>
    <row r="16" spans="1:4" x14ac:dyDescent="0.3">
      <c r="A16" s="3">
        <v>44529</v>
      </c>
      <c r="B16" s="10">
        <v>1.2499999999999999E-2</v>
      </c>
      <c r="C16" s="6">
        <v>0.31944444444444448</v>
      </c>
      <c r="D16" s="9">
        <f t="shared" si="0"/>
        <v>7.4</v>
      </c>
    </row>
    <row r="17" spans="1:4" x14ac:dyDescent="0.3">
      <c r="A17" s="3">
        <v>44530</v>
      </c>
      <c r="B17" s="10">
        <v>0.99305555555555547</v>
      </c>
      <c r="C17" s="6">
        <v>0.31944444444444448</v>
      </c>
      <c r="D17" s="9">
        <f t="shared" si="0"/>
        <v>7.8</v>
      </c>
    </row>
    <row r="18" spans="1:4" x14ac:dyDescent="0.3">
      <c r="A18" s="3">
        <v>44531</v>
      </c>
      <c r="B18" s="10">
        <v>1.3888888888888888E-2</v>
      </c>
      <c r="C18" s="6">
        <v>0.31944444444444448</v>
      </c>
      <c r="D18" s="9">
        <f t="shared" si="0"/>
        <v>7.3</v>
      </c>
    </row>
    <row r="19" spans="1:4" x14ac:dyDescent="0.3">
      <c r="A19" s="3">
        <v>44532</v>
      </c>
      <c r="B19" s="10">
        <v>0.99861111111111101</v>
      </c>
      <c r="C19" s="6">
        <v>0.31944444444444448</v>
      </c>
      <c r="D19" s="9">
        <f t="shared" si="0"/>
        <v>7.7</v>
      </c>
    </row>
    <row r="20" spans="1:4" x14ac:dyDescent="0.3">
      <c r="A20" s="3">
        <v>44533</v>
      </c>
      <c r="B20" s="10">
        <v>9.7222222222222224E-3</v>
      </c>
      <c r="C20" s="6">
        <v>0.31944444444444448</v>
      </c>
      <c r="D20" s="9">
        <f t="shared" si="0"/>
        <v>7.4</v>
      </c>
    </row>
    <row r="21" spans="1:4" x14ac:dyDescent="0.3">
      <c r="A21" s="3">
        <v>44534</v>
      </c>
      <c r="B21" s="10">
        <v>1.5972222222222224E-2</v>
      </c>
      <c r="C21" s="6">
        <v>0.375</v>
      </c>
      <c r="D21" s="9">
        <f t="shared" si="0"/>
        <v>8.6</v>
      </c>
    </row>
    <row r="22" spans="1:4" x14ac:dyDescent="0.3">
      <c r="A22" s="3">
        <v>44535</v>
      </c>
      <c r="B22" s="10">
        <v>1.3888888888888888E-2</v>
      </c>
      <c r="C22" s="6">
        <v>0.39583333333333331</v>
      </c>
      <c r="D22" s="9">
        <f t="shared" si="0"/>
        <v>9.1999999999999993</v>
      </c>
    </row>
    <row r="23" spans="1:4" x14ac:dyDescent="0.3">
      <c r="D23" s="9">
        <f t="shared" si="0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6313-A851-4939-AACB-91B993931A93}">
  <dimension ref="A1:B8"/>
  <sheetViews>
    <sheetView workbookViewId="0">
      <selection activeCell="H9" sqref="H9"/>
    </sheetView>
  </sheetViews>
  <sheetFormatPr defaultRowHeight="16.5" x14ac:dyDescent="0.3"/>
  <cols>
    <col min="1" max="16384" width="8.6640625" style="2"/>
  </cols>
  <sheetData>
    <row r="1" spans="1:2" x14ac:dyDescent="0.3">
      <c r="A1" s="4" t="s">
        <v>12</v>
      </c>
      <c r="B1" s="4" t="s">
        <v>47</v>
      </c>
    </row>
    <row r="2" spans="1:2" x14ac:dyDescent="0.3">
      <c r="A2" s="5" t="s">
        <v>7</v>
      </c>
      <c r="B2" s="5">
        <v>1.2</v>
      </c>
    </row>
    <row r="3" spans="1:2" x14ac:dyDescent="0.3">
      <c r="A3" s="5" t="s">
        <v>8</v>
      </c>
      <c r="B3" s="5">
        <v>1.1000000000000001</v>
      </c>
    </row>
    <row r="4" spans="1:2" x14ac:dyDescent="0.3">
      <c r="A4" s="5" t="s">
        <v>9</v>
      </c>
      <c r="B4" s="5">
        <v>1</v>
      </c>
    </row>
    <row r="5" spans="1:2" x14ac:dyDescent="0.3">
      <c r="A5" s="5" t="s">
        <v>10</v>
      </c>
      <c r="B5" s="5">
        <v>0.8</v>
      </c>
    </row>
    <row r="6" spans="1:2" x14ac:dyDescent="0.3">
      <c r="A6" s="5" t="s">
        <v>11</v>
      </c>
      <c r="B6" s="5">
        <v>1</v>
      </c>
    </row>
    <row r="7" spans="1:2" x14ac:dyDescent="0.3">
      <c r="A7" s="5" t="s">
        <v>13</v>
      </c>
      <c r="B7" s="5">
        <v>1</v>
      </c>
    </row>
    <row r="8" spans="1:2" x14ac:dyDescent="0.3">
      <c r="A8" s="5" t="s">
        <v>14</v>
      </c>
      <c r="B8" s="5">
        <v>1.2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E8E5-0798-4078-9282-EC3A63BD4DAD}">
  <dimension ref="A1:D21"/>
  <sheetViews>
    <sheetView workbookViewId="0">
      <selection activeCell="F21" sqref="F21"/>
    </sheetView>
  </sheetViews>
  <sheetFormatPr defaultRowHeight="14" x14ac:dyDescent="0.3"/>
  <cols>
    <col min="1" max="1" width="9.5" style="14" bestFit="1" customWidth="1"/>
    <col min="2" max="3" width="8.6640625" style="14"/>
    <col min="4" max="4" width="16.25" style="14" customWidth="1"/>
    <col min="5" max="16384" width="8.6640625" style="14"/>
  </cols>
  <sheetData>
    <row r="1" spans="1:4" ht="16.5" x14ac:dyDescent="0.3">
      <c r="A1" s="1" t="s">
        <v>0</v>
      </c>
      <c r="B1" s="1" t="s">
        <v>30</v>
      </c>
      <c r="C1" s="1" t="s">
        <v>31</v>
      </c>
      <c r="D1" s="1" t="s">
        <v>2</v>
      </c>
    </row>
    <row r="2" spans="1:4" x14ac:dyDescent="0.3">
      <c r="A2" s="15">
        <v>44534</v>
      </c>
      <c r="B2" s="16">
        <v>0.375</v>
      </c>
      <c r="C2" s="16">
        <v>0.40069444444444446</v>
      </c>
      <c r="D2" s="14" t="s">
        <v>32</v>
      </c>
    </row>
    <row r="3" spans="1:4" x14ac:dyDescent="0.3">
      <c r="A3" s="15">
        <v>44534</v>
      </c>
      <c r="B3" s="16">
        <v>0.40069444444444446</v>
      </c>
      <c r="C3" s="16">
        <v>0.42291666666666666</v>
      </c>
      <c r="D3" s="14" t="s">
        <v>33</v>
      </c>
    </row>
    <row r="4" spans="1:4" x14ac:dyDescent="0.3">
      <c r="A4" s="15">
        <v>44534</v>
      </c>
      <c r="B4" s="16">
        <v>0.42291666666666666</v>
      </c>
      <c r="C4" s="16">
        <v>0.4680555555555555</v>
      </c>
      <c r="D4" s="14" t="s">
        <v>34</v>
      </c>
    </row>
    <row r="5" spans="1:4" x14ac:dyDescent="0.3">
      <c r="A5" s="15">
        <v>44534</v>
      </c>
      <c r="B5" s="16">
        <v>0.4680555555555555</v>
      </c>
      <c r="C5" s="16">
        <v>0.47500000000000003</v>
      </c>
      <c r="D5" s="14" t="s">
        <v>35</v>
      </c>
    </row>
    <row r="6" spans="1:4" x14ac:dyDescent="0.3">
      <c r="A6" s="15">
        <v>44534</v>
      </c>
      <c r="B6" s="16">
        <v>0.47500000000000003</v>
      </c>
      <c r="C6" s="16">
        <v>0.5</v>
      </c>
      <c r="D6" s="14" t="s">
        <v>15</v>
      </c>
    </row>
    <row r="7" spans="1:4" x14ac:dyDescent="0.3">
      <c r="A7" s="15">
        <v>44534</v>
      </c>
      <c r="B7" s="16">
        <v>0.5</v>
      </c>
      <c r="C7" s="16">
        <v>0.52222222222222225</v>
      </c>
      <c r="D7" s="14" t="s">
        <v>36</v>
      </c>
    </row>
    <row r="8" spans="1:4" x14ac:dyDescent="0.3">
      <c r="A8" s="15">
        <v>44534</v>
      </c>
      <c r="B8" s="16">
        <v>0.52777777777777779</v>
      </c>
      <c r="C8" s="16">
        <v>0.58333333333333337</v>
      </c>
      <c r="D8" s="14" t="s">
        <v>37</v>
      </c>
    </row>
    <row r="9" spans="1:4" x14ac:dyDescent="0.3">
      <c r="A9" s="15">
        <v>44534</v>
      </c>
      <c r="B9" s="16">
        <v>0.58333333333333337</v>
      </c>
      <c r="C9" s="16">
        <v>0.59375</v>
      </c>
      <c r="D9" s="14" t="s">
        <v>38</v>
      </c>
    </row>
    <row r="10" spans="1:4" x14ac:dyDescent="0.3">
      <c r="A10" s="15">
        <v>44534</v>
      </c>
      <c r="B10" s="16">
        <v>0.59375</v>
      </c>
      <c r="C10" s="16">
        <v>0.62291666666666667</v>
      </c>
      <c r="D10" s="14" t="s">
        <v>15</v>
      </c>
    </row>
    <row r="11" spans="1:4" x14ac:dyDescent="0.3">
      <c r="A11" s="15">
        <v>44534</v>
      </c>
      <c r="B11" s="16">
        <v>0.62291666666666667</v>
      </c>
      <c r="C11" s="16">
        <v>0.63750000000000007</v>
      </c>
      <c r="D11" s="14" t="s">
        <v>39</v>
      </c>
    </row>
    <row r="12" spans="1:4" x14ac:dyDescent="0.3">
      <c r="A12" s="15">
        <v>44534</v>
      </c>
      <c r="B12" s="16">
        <v>0.63888888888888895</v>
      </c>
      <c r="C12" s="16">
        <v>0.67222222222222217</v>
      </c>
      <c r="D12" s="14" t="s">
        <v>40</v>
      </c>
    </row>
    <row r="13" spans="1:4" x14ac:dyDescent="0.3">
      <c r="A13" s="15">
        <v>44534</v>
      </c>
      <c r="B13" s="16">
        <v>0.68333333333333324</v>
      </c>
      <c r="C13" s="16">
        <v>0.69305555555555554</v>
      </c>
      <c r="D13" s="14" t="s">
        <v>41</v>
      </c>
    </row>
    <row r="14" spans="1:4" x14ac:dyDescent="0.3">
      <c r="A14" s="15">
        <v>44534</v>
      </c>
      <c r="B14" s="16">
        <v>0.69305555555555554</v>
      </c>
      <c r="C14" s="16">
        <v>0.72222222222222221</v>
      </c>
      <c r="D14" s="14" t="s">
        <v>42</v>
      </c>
    </row>
    <row r="15" spans="1:4" x14ac:dyDescent="0.3">
      <c r="A15" s="15">
        <v>44534</v>
      </c>
      <c r="B15" s="16">
        <v>0.72222222222222221</v>
      </c>
      <c r="C15" s="16">
        <v>0.7416666666666667</v>
      </c>
      <c r="D15" s="14" t="s">
        <v>43</v>
      </c>
    </row>
    <row r="16" spans="1:4" x14ac:dyDescent="0.3">
      <c r="A16" s="15">
        <v>44534</v>
      </c>
      <c r="B16" s="16">
        <v>0.7416666666666667</v>
      </c>
      <c r="C16" s="16">
        <v>0.75416666666666676</v>
      </c>
      <c r="D16" s="14" t="s">
        <v>44</v>
      </c>
    </row>
    <row r="17" spans="1:4" x14ac:dyDescent="0.3">
      <c r="A17" s="15">
        <v>44534</v>
      </c>
      <c r="B17" s="16">
        <v>0.74305555555555547</v>
      </c>
      <c r="C17" s="16">
        <v>0.78749999999999998</v>
      </c>
      <c r="D17" s="14" t="s">
        <v>42</v>
      </c>
    </row>
    <row r="18" spans="1:4" x14ac:dyDescent="0.3">
      <c r="A18" s="15">
        <v>44534</v>
      </c>
      <c r="B18" s="16">
        <v>0.78749999999999998</v>
      </c>
      <c r="C18" s="16">
        <v>0.8027777777777777</v>
      </c>
      <c r="D18" s="14" t="s">
        <v>8</v>
      </c>
    </row>
    <row r="19" spans="1:4" x14ac:dyDescent="0.3">
      <c r="A19" s="15">
        <v>44534</v>
      </c>
      <c r="B19" s="16">
        <v>0.81527777777777777</v>
      </c>
      <c r="C19" s="16">
        <v>0.82777777777777783</v>
      </c>
      <c r="D19" s="14" t="s">
        <v>45</v>
      </c>
    </row>
    <row r="20" spans="1:4" x14ac:dyDescent="0.3">
      <c r="A20" s="15">
        <v>44534</v>
      </c>
      <c r="B20" s="16">
        <v>0.82777777777777783</v>
      </c>
      <c r="C20" s="16">
        <v>0.92708333333333337</v>
      </c>
      <c r="D20" s="14" t="s">
        <v>46</v>
      </c>
    </row>
    <row r="21" spans="1:4" x14ac:dyDescent="0.3">
      <c r="A21" s="15">
        <v>44534</v>
      </c>
      <c r="B21" s="16">
        <v>0.93541666666666667</v>
      </c>
      <c r="C21" s="16">
        <v>0.96805555555555556</v>
      </c>
      <c r="D21" s="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数据透视表</vt:lpstr>
      <vt:lpstr>活动源数据</vt:lpstr>
      <vt:lpstr>睡眠源数据</vt:lpstr>
      <vt:lpstr>活动参数</vt:lpstr>
      <vt:lpstr>单日明细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2021-12-06T14:33:23Z</dcterms:modified>
</cp:coreProperties>
</file>